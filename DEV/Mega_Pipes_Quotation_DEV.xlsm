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906D59B6-E54F-49C5-B0CF-78E0C08C6D14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  <sheet name="SYNOPSIS" sheetId="13" r:id="rId13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PLANTS!$B$4:$B$10</definedName>
    <definedName name="_xlnm.Print_Area" localSheetId="2">QUOTE!$A$1:$I$52</definedName>
    <definedName name="_xlnm.Print_Area" localSheetId="1">START!$A$1:$G$35</definedName>
    <definedName name="_xlnm.Print_Area" localSheetId="12">SYNOPSIS!$A$1:$P$17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13" l="1"/>
  <c r="N16" i="13"/>
  <c r="K16" i="13"/>
  <c r="I16" i="13"/>
  <c r="H16" i="13"/>
  <c r="P15" i="13"/>
  <c r="O15" i="13"/>
  <c r="N15" i="13"/>
  <c r="M15" i="13"/>
  <c r="L15" i="13"/>
  <c r="K15" i="13"/>
  <c r="J15" i="13"/>
  <c r="I15" i="13"/>
  <c r="C15" i="13"/>
  <c r="D15" i="13"/>
  <c r="P14" i="13"/>
  <c r="O14" i="13"/>
  <c r="N14" i="13"/>
  <c r="M14" i="13"/>
  <c r="L14" i="13"/>
  <c r="K14" i="13"/>
  <c r="J14" i="13"/>
  <c r="I14" i="13"/>
  <c r="D14" i="13"/>
  <c r="C14" i="13" s="1"/>
  <c r="P13" i="13"/>
  <c r="O13" i="13"/>
  <c r="N13" i="13"/>
  <c r="M13" i="13"/>
  <c r="L13" i="13"/>
  <c r="K13" i="13"/>
  <c r="J13" i="13"/>
  <c r="I13" i="13"/>
  <c r="D13" i="13"/>
  <c r="C13" i="13" s="1"/>
  <c r="P12" i="13"/>
  <c r="O12" i="13"/>
  <c r="N12" i="13"/>
  <c r="M12" i="13"/>
  <c r="L12" i="13"/>
  <c r="K12" i="13"/>
  <c r="J12" i="13"/>
  <c r="I12" i="13"/>
  <c r="D12" i="13"/>
  <c r="C12" i="13" s="1"/>
</calcChain>
</file>

<file path=xl/sharedStrings.xml><?xml version="1.0" encoding="utf-8"?>
<sst xmlns="http://schemas.openxmlformats.org/spreadsheetml/2006/main" count="2645" uniqueCount="963">
  <si>
    <t>MKTG/ENQ/26-27/TEST-SNAP</t>
  </si>
  <si>
    <t>Customer:</t>
  </si>
  <si>
    <t>Unipro Techno Infrastructure Pvt Ltd</t>
  </si>
  <si>
    <t>Calculated</t>
  </si>
  <si>
    <t>Pricing Mode:</t>
  </si>
  <si>
    <t>NORMAL (Option 1)</t>
  </si>
  <si>
    <t>Administrator</t>
  </si>
  <si>
    <t>ORS</t>
  </si>
  <si>
    <t>PLANT &amp; COMPETITOR COMPARISON</t>
  </si>
  <si>
    <t>Plant ID</t>
  </si>
  <si>
    <t>Plant Name</t>
  </si>
  <si>
    <t>Distance (KM)</t>
  </si>
  <si>
    <t>Trips</t>
  </si>
  <si>
    <t>Freight / MT</t>
  </si>
  <si>
    <t>Landed Price / MT</t>
  </si>
  <si>
    <t>P01</t>
  </si>
  <si>
    <t>Mega Pipes Jabalpur (Maneri)</t>
  </si>
  <si>
    <t>P02</t>
  </si>
  <si>
    <t>Mega Pipes Khopoli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</si>
  <si>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</si>
  <si>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</si>
  <si>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</si>
  <si>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</si>
  <si>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</si>
  <si>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</si>
  <si>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</si>
  <si>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</si>
  <si>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Ratnamani Metals &amp; Tubes Ltd (Sundargarh)</t>
  </si>
  <si>
    <t>CURRENT</t>
  </si>
  <si>
    <t>CLOSER THAN OUR PLANT</t>
  </si>
  <si>
    <t>Welspun Corp Limited (Bhopal)</t>
  </si>
  <si>
    <t>STALE</t>
  </si>
  <si>
    <t>MAN / JSW / Ratnamani (Anjar)</t>
  </si>
  <si>
    <t>N/A</t>
  </si>
  <si>
    <t>price needed</t>
  </si>
  <si>
    <t>Jindal Saw Ltd (Bellary)</t>
  </si>
  <si>
    <t>Recommended Offer (Undercut Rs 500):</t>
  </si>
  <si>
    <t>FLOOR_PROTECTED: Floor price (88717.00) exceeds competitor target (83199.00)</t>
  </si>
  <si>
    <t>LIVE QUOTATION SUMMARY</t>
  </si>
  <si>
    <t>Total Metres</t>
  </si>
  <si>
    <t>Total Weight (MT)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</si>
  <si>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</si>
  <si>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</si>
  <si>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</si>
  <si>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</si>
  <si>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</si>
  <si>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</si>
  <si>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</si>
  <si>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</si>
  <si>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Grand Total (Incl. GST)</t>
  </si>
  <si>
    <t>Delivery Place</t>
  </si>
  <si>
    <t>Krishna Nagar, Bagodar, Jharkhand - 825322</t>
  </si>
  <si>
    <t>Workflow Status</t>
  </si>
  <si>
    <t>Mode</t>
  </si>
  <si>
    <t>Supplying Plant</t>
  </si>
  <si>
    <t>Valid Lines</t>
  </si>
  <si>
    <t>Payment Terms</t>
  </si>
  <si>
    <t>25% Advance + balance against LC</t>
  </si>
  <si>
    <t>Price Basis</t>
  </si>
  <si>
    <t>Metres</t>
  </si>
  <si>
    <t>Family</t>
  </si>
  <si>
    <t>Basis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</si>
  <si>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</si>
  <si>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</si>
  <si>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</si>
  <si>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</si>
  <si>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</si>
  <si>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</si>
  <si>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</si>
  <si>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 ID</t>
  </si>
  <si>
    <t>Pipe Specification</t>
  </si>
  <si>
    <t>Coating (Ext / Int)</t>
  </si>
  <si>
    <t>Pipes</t>
  </si>
  <si>
    <t>Weight (MT)</t>
  </si>
  <si>
    <t>Unit Price</t>
  </si>
  <si>
    <t>Line Total</t>
  </si>
  <si>
    <t>Status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</si>
  <si>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</si>
  <si>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</si>
  <si>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</si>
  <si>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</si>
  <si>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</si>
  <si>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</si>
  <si>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</si>
  <si>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</si>
  <si>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</si>
  <si>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</si>
  <si>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</si>
  <si>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</si>
  <si>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</si>
  <si>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</si>
  <si>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</si>
  <si>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</si>
  <si>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</si>
  <si>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</si>
  <si>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</si>
  <si>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</si>
  <si>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</si>
  <si>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</si>
  <si>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</si>
  <si>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</si>
  <si>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</si>
  <si>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</si>
  <si>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</si>
  <si>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</si>
  <si>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</si>
  <si>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</si>
  <si>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</si>
  <si>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</si>
  <si>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</si>
  <si>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</si>
  <si>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</si>
  <si>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</si>
  <si>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</si>
  <si>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</si>
  <si>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</si>
  <si>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</si>
  <si>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</si>
  <si>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</si>
  <si>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</si>
  <si>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</si>
  <si>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</si>
  <si>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</si>
  <si>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</si>
  <si>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</si>
  <si>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</si>
  <si>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</si>
  <si>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</si>
  <si>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</si>
  <si>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</si>
  <si>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</si>
  <si>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</si>
  <si>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</si>
  <si>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</si>
  <si>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</si>
  <si>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</si>
  <si>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</si>
  <si>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</si>
  <si>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</si>
  <si>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</si>
  <si>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</si>
  <si>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</si>
  <si>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</si>
  <si>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</si>
  <si>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</si>
  <si>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</si>
  <si>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</si>
  <si>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</si>
  <si>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</si>
  <si>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</si>
  <si>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</si>
  <si>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</si>
  <si>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</si>
  <si>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</si>
  <si>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</si>
  <si>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</si>
  <si>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</si>
  <si>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</si>
  <si>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</si>
  <si>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</si>
  <si>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</si>
  <si>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</si>
  <si>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</si>
  <si>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</si>
  <si>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</si>
  <si>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</si>
  <si>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</si>
  <si>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</si>
  <si>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</si>
  <si>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</si>
  <si>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</si>
  <si>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</si>
  <si>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</si>
  <si>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</si>
  <si>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</si>
  <si>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</si>
  <si>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</si>
  <si>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</si>
  <si>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</si>
  <si>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</si>
  <si>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</si>
  <si>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</si>
  <si>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</si>
  <si>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</si>
  <si>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</si>
  <si>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</si>
  <si>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</si>
  <si>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</si>
  <si>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</si>
  <si>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</si>
  <si>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</si>
  <si>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</si>
  <si>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</si>
  <si>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</si>
  <si>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</si>
  <si>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</si>
  <si>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</si>
  <si>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</si>
  <si>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</si>
  <si>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</si>
  <si>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</si>
  <si>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</si>
  <si>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</si>
  <si>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</si>
  <si>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</si>
  <si>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</si>
  <si>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</si>
  <si>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</si>
  <si>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</si>
  <si>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</si>
  <si>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</si>
  <si>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</si>
  <si>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</si>
  <si>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</si>
  <si>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</si>
  <si>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</si>
  <si>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</si>
  <si>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</si>
  <si>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</si>
  <si>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</si>
  <si>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</si>
  <si>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</si>
  <si>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</si>
  <si>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</si>
  <si>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</si>
  <si>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</si>
  <si>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</si>
  <si>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</si>
  <si>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</si>
  <si>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</si>
  <si>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</si>
  <si>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</si>
  <si>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</si>
  <si>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</si>
  <si>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</si>
  <si>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</si>
  <si>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</si>
  <si>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</si>
  <si>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</si>
  <si>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</si>
  <si>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</si>
  <si>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</si>
  <si>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</si>
  <si>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</si>
  <si>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</si>
  <si>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</si>
  <si>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</si>
  <si>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</si>
  <si>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</si>
  <si>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</si>
  <si>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</si>
  <si>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</si>
  <si>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</si>
  <si>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</si>
  <si>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</si>
  <si>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</si>
  <si>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</si>
  <si>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</si>
  <si>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</si>
  <si>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</si>
  <si>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</si>
  <si>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</si>
  <si>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</si>
  <si>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</si>
  <si>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</si>
  <si>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</si>
  <si>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</si>
  <si>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</si>
  <si>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</si>
  <si>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</si>
  <si>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</si>
  <si>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</si>
  <si>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</si>
  <si>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</si>
  <si>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</si>
  <si>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</si>
  <si>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</si>
  <si>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</si>
  <si>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</si>
  <si>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</si>
  <si>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</si>
  <si>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</si>
  <si>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</si>
  <si>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</si>
  <si>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</si>
  <si>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</si>
  <si>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</si>
  <si>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</si>
  <si>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</si>
  <si>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</si>
  <si>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</si>
  <si>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</si>
  <si>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</si>
  <si>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</si>
  <si>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</si>
  <si>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</si>
  <si>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</si>
  <si>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</si>
  <si>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</si>
  <si>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</si>
  <si>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</si>
  <si>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</si>
  <si>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</si>
  <si>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</si>
  <si>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</si>
  <si>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</si>
  <si>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</si>
  <si>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</si>
  <si>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</si>
  <si>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</si>
  <si>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</si>
  <si>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</si>
  <si>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</si>
  <si>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</si>
  <si>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</si>
  <si>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</si>
  <si>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</si>
  <si>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</si>
  <si>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</si>
  <si>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</si>
  <si>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</si>
  <si>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</si>
  <si>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</si>
  <si>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</si>
  <si>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</si>
  <si>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</si>
  <si>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</si>
  <si>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</si>
  <si>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</si>
  <si>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</si>
  <si>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</si>
  <si>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</si>
  <si>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</si>
  <si>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</si>
  <si>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</si>
  <si>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</si>
  <si>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</si>
  <si>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</si>
  <si>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</si>
  <si>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</si>
  <si>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</si>
  <si>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</si>
  <si>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</si>
  <si>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</si>
  <si>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</si>
  <si>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</si>
  <si>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</si>
  <si>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</si>
  <si>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</si>
  <si>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</si>
  <si>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</si>
  <si>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</si>
  <si>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</si>
  <si>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</si>
  <si>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</si>
  <si>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</si>
  <si>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</si>
  <si>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</si>
  <si>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</si>
  <si>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</si>
  <si>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</si>
  <si>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</si>
  <si>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</si>
  <si>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</si>
  <si>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</si>
  <si>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</si>
  <si>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</si>
  <si>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</si>
  <si>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</si>
  <si>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</si>
  <si>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</si>
  <si>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</si>
  <si>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</si>
  <si>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</si>
  <si>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</si>
  <si>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</si>
  <si>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</si>
  <si>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</si>
  <si>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</si>
  <si>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</si>
  <si>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</si>
  <si>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</si>
  <si>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</si>
  <si>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</si>
  <si>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</si>
  <si>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</si>
  <si>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</si>
  <si>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</si>
  <si>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</si>
  <si>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</si>
  <si>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</si>
  <si>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</si>
  <si>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</si>
  <si>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</si>
  <si>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</si>
  <si>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</si>
  <si>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</si>
  <si>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</si>
  <si>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</si>
  <si>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</si>
  <si>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</si>
  <si>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</si>
  <si>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</si>
  <si>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</si>
  <si>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</si>
  <si>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</si>
  <si>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</si>
  <si>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</si>
  <si>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</si>
  <si>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</si>
  <si>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</si>
  <si>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</si>
  <si>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</si>
  <si>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</si>
  <si>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</si>
  <si>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</si>
  <si>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</si>
  <si>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</si>
  <si>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</si>
  <si>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</si>
  <si>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</si>
  <si>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</si>
  <si>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</si>
  <si>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</si>
  <si>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</si>
  <si>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</si>
  <si>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</si>
  <si>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</si>
  <si>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</si>
  <si>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</si>
  <si>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</si>
  <si>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</si>
  <si>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</si>
  <si>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</si>
  <si>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</si>
  <si>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</si>
  <si>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</si>
  <si>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</si>
  <si>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</si>
  <si>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</si>
  <si>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</si>
  <si>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</si>
  <si>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</si>
  <si>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</si>
  <si>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</si>
  <si>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</si>
  <si>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</si>
  <si>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</si>
  <si>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</si>
  <si>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</si>
  <si>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</si>
  <si>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</si>
  <si>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</si>
  <si>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</si>
  <si>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</si>
  <si>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</si>
  <si>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</si>
  <si>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</si>
  <si>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</si>
  <si>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</si>
  <si>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</si>
  <si>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</si>
  <si>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</si>
  <si>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</si>
  <si>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</si>
  <si>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</si>
  <si>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</si>
  <si>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</si>
  <si>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</si>
  <si>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</si>
  <si>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</si>
  <si>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</si>
  <si>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</si>
  <si>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</si>
  <si>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</si>
  <si>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</si>
  <si>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</si>
  <si>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</si>
  <si>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</si>
  <si>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</si>
  <si>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</si>
  <si>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</si>
  <si>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</si>
  <si>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</si>
  <si>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</si>
  <si>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</si>
  <si>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</si>
  <si>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</si>
  <si>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</si>
  <si>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</si>
  <si>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</si>
  <si>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</si>
  <si>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</si>
  <si>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</si>
  <si>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</si>
  <si>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</si>
  <si>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</si>
  <si>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</si>
  <si>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</si>
  <si>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</si>
  <si>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</si>
  <si>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</si>
  <si>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</si>
  <si>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</si>
  <si>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</si>
  <si>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</si>
  <si>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</si>
  <si>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</si>
  <si>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</si>
  <si>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</si>
  <si>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</si>
  <si>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</si>
  <si>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</si>
  <si>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</si>
  <si>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</si>
  <si>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</si>
  <si>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</si>
  <si>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</si>
  <si>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</si>
  <si>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</si>
  <si>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</si>
  <si>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</si>
  <si>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</si>
  <si>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</si>
  <si>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</si>
  <si>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</si>
  <si>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</si>
  <si>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</si>
  <si>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</si>
  <si>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</si>
  <si>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</si>
  <si>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</si>
  <si>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</si>
  <si>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</si>
  <si>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</si>
  <si>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</si>
  <si>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</si>
  <si>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</si>
  <si>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</si>
  <si>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</si>
  <si>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</si>
  <si>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</si>
  <si>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</si>
  <si>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</si>
  <si>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</si>
  <si>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</si>
  <si>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</si>
  <si>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</si>
  <si>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</si>
  <si>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</si>
  <si>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</si>
  <si>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</si>
  <si>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</si>
  <si>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</si>
  <si>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</si>
  <si>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</si>
  <si>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</si>
  <si>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</si>
  <si>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</si>
  <si>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</si>
  <si>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</si>
  <si>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</si>
  <si>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</si>
  <si>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</si>
  <si>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</si>
  <si>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</si>
  <si>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</si>
  <si>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</si>
  <si>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</si>
  <si>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</si>
  <si>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</si>
  <si>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</si>
  <si>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</si>
  <si>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</si>
  <si>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</si>
  <si>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</si>
  <si>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</si>
  <si>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</si>
  <si>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</si>
  <si>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</si>
  <si>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</si>
  <si>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</si>
  <si>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</si>
  <si>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</si>
  <si>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</si>
  <si>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</si>
  <si>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</si>
  <si>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</si>
  <si>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</si>
  <si>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</si>
  <si>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</si>
  <si>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</si>
  <si>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</si>
  <si>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</si>
  <si>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</si>
  <si>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</si>
  <si>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</si>
  <si>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</si>
  <si>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</si>
  <si>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</si>
  <si>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</si>
  <si>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</si>
  <si>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</si>
  <si>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</si>
  <si>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</si>
  <si>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</si>
  <si>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</si>
  <si>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</si>
  <si>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</si>
  <si>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</si>
  <si>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</si>
  <si>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</si>
  <si>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</si>
  <si>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</si>
  <si>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</si>
  <si>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</si>
  <si>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</si>
  <si>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</si>
  <si>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</si>
  <si>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</si>
  <si>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</si>
  <si>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</si>
  <si>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</si>
  <si>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</si>
  <si>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</si>
  <si>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</si>
  <si>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</si>
  <si>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</si>
  <si>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</si>
  <si>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</si>
  <si>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</si>
  <si>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</si>
  <si>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</si>
  <si>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</si>
  <si>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</si>
  <si>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</si>
  <si>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</si>
  <si>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</si>
  <si>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</si>
  <si>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</si>
  <si>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</si>
  <si>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</si>
  <si>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</si>
  <si>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</si>
  <si>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</si>
  <si>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</si>
  <si>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</si>
  <si>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</si>
  <si>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</si>
  <si>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</si>
  <si>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</si>
  <si>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</si>
  <si>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</si>
  <si>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</si>
  <si>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</si>
  <si>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</si>
  <si>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</si>
  <si>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</si>
  <si>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</si>
  <si>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</si>
  <si>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</si>
  <si>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</si>
  <si>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</si>
  <si>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</si>
  <si>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</si>
  <si>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</si>
  <si>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</si>
  <si>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</si>
  <si>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</si>
  <si>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</si>
  <si>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</si>
  <si>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</si>
  <si>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</si>
  <si>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</si>
  <si>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</si>
  <si>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</si>
  <si>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</si>
  <si>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</si>
  <si>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</si>
  <si>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</si>
  <si>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</si>
  <si>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</si>
  <si>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</si>
  <si>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</si>
  <si>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</si>
  <si>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</si>
  <si>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</si>
  <si>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</si>
  <si>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</si>
  <si>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</si>
  <si>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</si>
  <si>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</si>
  <si>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</si>
  <si>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</si>
  <si>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</si>
  <si>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</si>
  <si>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</si>
  <si>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</si>
  <si>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</si>
  <si>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</si>
  <si>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</si>
  <si>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</si>
  <si>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</si>
  <si>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</si>
  <si>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</si>
  <si>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</si>
  <si>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</si>
  <si>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</si>
  <si>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</si>
  <si>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</si>
  <si>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</si>
  <si>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</si>
  <si>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</si>
  <si>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</si>
  <si>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</si>
  <si>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</si>
  <si>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</si>
  <si>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</si>
  <si>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</si>
  <si>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</si>
  <si>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</si>
  <si>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</si>
  <si>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</si>
  <si>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</si>
  <si>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</si>
  <si>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</si>
  <si>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</si>
  <si>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</si>
  <si>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</si>
  <si>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</si>
  <si>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</si>
  <si>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</si>
  <si>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</si>
  <si>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</si>
  <si>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</si>
  <si>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</si>
  <si>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</si>
  <si>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</si>
  <si>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</si>
  <si>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</si>
  <si>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</si>
  <si>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</si>
  <si>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</si>
  <si>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</si>
  <si>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</si>
  <si>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</si>
  <si>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</si>
  <si>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</si>
  <si>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</si>
  <si>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</si>
  <si>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</si>
  <si>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</si>
  <si>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</si>
  <si>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</si>
  <si>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</si>
  <si>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</si>
  <si>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</si>
  <si>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</si>
  <si>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</si>
  <si>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</si>
  <si>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</si>
  <si>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</si>
  <si>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</si>
  <si>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</si>
  <si>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</si>
  <si>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</si>
  <si>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</si>
  <si>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</si>
  <si>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</si>
  <si>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</si>
  <si>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</si>
  <si>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</si>
  <si>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</si>
  <si>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</si>
  <si>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</si>
  <si>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</si>
  <si>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</si>
  <si>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</si>
  <si>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</si>
  <si>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</si>
  <si>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</si>
  <si>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</si>
  <si>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</si>
  <si>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</si>
  <si>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</si>
  <si>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</si>
  <si>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</si>
  <si>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</si>
  <si>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</si>
  <si>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</si>
  <si>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</si>
  <si>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</si>
  <si>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</si>
  <si>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</si>
  <si>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</si>
  <si>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</si>
  <si>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</si>
  <si>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</si>
  <si>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</si>
  <si>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</si>
  <si>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</si>
  <si>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</si>
  <si>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</si>
  <si>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</si>
  <si>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</si>
  <si>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</si>
  <si>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</si>
  <si>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</si>
  <si>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</si>
  <si>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</si>
  <si>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</si>
  <si>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</si>
  <si>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</si>
  <si>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</si>
  <si>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</si>
  <si>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</si>
  <si>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</si>
  <si>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</si>
  <si>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</si>
  <si>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</si>
  <si>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</si>
  <si>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</si>
  <si>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</si>
  <si>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</si>
  <si>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</si>
  <si>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</si>
  <si>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</si>
  <si>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</si>
  <si>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</si>
  <si>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</si>
  <si>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</si>
  <si>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</si>
  <si>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</si>
  <si>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</si>
  <si>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</si>
  <si>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</si>
  <si>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</si>
  <si>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</si>
  <si>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</si>
  <si>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</si>
  <si>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</si>
  <si>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</si>
  <si>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</si>
  <si>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</si>
  <si>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</si>
  <si>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</si>
  <si>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WT_HSAW</t>
  </si>
  <si>
    <t>Grades_HSAW</t>
  </si>
  <si>
    <t>LOG-00154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</si>
  <si>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</si>
  <si>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</si>
  <si>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</si>
  <si>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</si>
  <si>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</si>
  <si>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</si>
  <si>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MKTG/ENQ/26-27/594</t>
  </si>
  <si>
    <t>Mr. Sharma</t>
  </si>
  <si>
    <t>Project Site, Gujarat</t>
  </si>
  <si>
    <t>30 Days from Dispatch</t>
  </si>
  <si>
    <t>LOG-00158</t>
  </si>
  <si>
    <t>LOG-00159</t>
  </si>
  <si>
    <t>LOG-00160</t>
  </si>
  <si>
    <t>LOG-00161</t>
  </si>
  <si>
    <t>LOG-00162</t>
  </si>
  <si>
    <t>Synced from C:\Users\ADMINI~1\AppData\Local\Temp\MegaPipes_SyncTest_174425\Masters\Masters_Central.xlsx</t>
  </si>
  <si>
    <t>MKTG/ENQ/26-27/TEMP-20261013174426</t>
  </si>
  <si>
    <t>LOG-00163</t>
  </si>
  <si>
    <t>LOG-00164</t>
  </si>
  <si>
    <t>MEGA_OFFER_26-27_594_UNIPRO_R0.pdf</t>
  </si>
  <si>
    <t>PDF exported to C:\Users\ADMINI~1\AppData\Local\Temp\MegaPipes_ExpTest_174426\MEGA_OFFER_26-27_594_UNIPRO_R0.pdf</t>
  </si>
  <si>
    <t>LOG-00165</t>
  </si>
  <si>
    <t>MEGA_OFFER_26-27_594_UNIPRO_R0_Customer.xlsx</t>
  </si>
  <si>
    <t>Customer Excel exported to C:\Users\ADMINI~1\AppData\Local\Temp\MegaPipes_ExpTest_174426\MEGA_OFFER_26-27_594_UNIPRO_R0_Customer.xlsx</t>
  </si>
  <si>
    <t>LOG-00166</t>
  </si>
  <si>
    <t>MEGA_OFFER_26-27_594_UNIPRO_R0_Internal.xlsx</t>
  </si>
  <si>
    <t>Internal Excel exported to C:\Users\ADMINI~1\AppData\Local\Temp\MegaPipes_ExpTest_174426\MEGA_OFFER_26-27_594_UNIPRO_R0_Internal.xlsx</t>
  </si>
  <si>
    <t>LOG-00167</t>
  </si>
  <si>
    <t>LOG-00168</t>
  </si>
  <si>
    <t>LOG-00169</t>
  </si>
  <si>
    <t>LOG-00170</t>
  </si>
  <si>
    <t>LOG-00171</t>
  </si>
  <si>
    <t>Active Reference:</t>
  </si>
  <si>
    <t>Current Grand Total:</t>
  </si>
  <si>
    <t>QUOTATION WORKFLOW ACTIONS</t>
  </si>
  <si>
    <t>System Status: Online | Master data verified | Quotation engine ready._x000D_
To create or update a quotation, click 'NEW QUOTATION' or 'OPEN EXISTING QUOTATION' above.</t>
  </si>
  <si>
    <t>1. QUOTATION HEADER DETAILS</t>
  </si>
  <si>
    <t>Quotation Number</t>
  </si>
  <si>
    <t>Type of Enquiry</t>
  </si>
  <si>
    <t>Product Type</t>
  </si>
  <si>
    <t>Project / Tender Ref</t>
  </si>
  <si>
    <t>Salesperson</t>
  </si>
  <si>
    <t>Validity (Days)</t>
  </si>
  <si>
    <t>Pricing Mode</t>
  </si>
  <si>
    <t>2. ADD / CONFIGURE PIPE LINE ITEM</t>
  </si>
  <si>
    <t>Product Standard</t>
  </si>
  <si>
    <t>Pipe Family</t>
  </si>
  <si>
    <t>Diameter Basis</t>
  </si>
  <si>
    <t>Size (mm)</t>
  </si>
  <si>
    <t>Wall Thickness (mm)</t>
  </si>
  <si>
    <t>Steel Grade</t>
  </si>
  <si>
    <t>Pipe Length (m)</t>
  </si>
  <si>
    <t>Unipro Techno Infrastructure Pvt. Ltd</t>
  </si>
  <si>
    <t>Konar, Jharkhand Project</t>
  </si>
  <si>
    <t>Commercial Sales Team</t>
  </si>
  <si>
    <t>SYNOPSIS</t>
  </si>
  <si>
    <t>OUR REF.</t>
  </si>
  <si>
    <t>TYPE:</t>
  </si>
  <si>
    <t>Tender Name</t>
  </si>
  <si>
    <t xml:space="preserve">End User   </t>
  </si>
  <si>
    <t>Enq Recd from</t>
  </si>
  <si>
    <t xml:space="preserve">Contact Person </t>
  </si>
  <si>
    <t>Validity of offer</t>
  </si>
  <si>
    <t>Place of Delivery</t>
  </si>
  <si>
    <t xml:space="preserve">Due Date </t>
  </si>
  <si>
    <t xml:space="preserve">Delivery Reqd  </t>
  </si>
  <si>
    <t>As per schedule</t>
  </si>
  <si>
    <t>MM</t>
  </si>
  <si>
    <t xml:space="preserve">OD </t>
  </si>
  <si>
    <t>INCH</t>
  </si>
  <si>
    <t>Thk</t>
  </si>
  <si>
    <t>Specs</t>
  </si>
  <si>
    <t>Type</t>
  </si>
  <si>
    <t xml:space="preserve">Qty </t>
  </si>
  <si>
    <t>MTRS</t>
  </si>
  <si>
    <t xml:space="preserve">Pipe </t>
  </si>
  <si>
    <t>Nos.</t>
  </si>
  <si>
    <t>Weight</t>
  </si>
  <si>
    <t>Kg/m</t>
  </si>
  <si>
    <t>Qty in</t>
  </si>
  <si>
    <t>MT</t>
  </si>
  <si>
    <t>volume</t>
  </si>
  <si>
    <t>CBM</t>
  </si>
  <si>
    <t>Ratio per size</t>
  </si>
  <si>
    <t>Coating</t>
  </si>
  <si>
    <t>Ext mÂ²</t>
  </si>
  <si>
    <t>INT mÂ²</t>
  </si>
  <si>
    <t>Weight of pipe</t>
  </si>
  <si>
    <t>Note- There will be food grade epoxy internal lining and external coating shall be of coal _x000D_
Tar Tape/Polyrethene (PU) as per relevant IS Code such as 10221-2008 or 16719-_x000D_
2022 or as prescribed by the department._x000D_
Outer Coating = PU 1000 micron_x000D_
Internal Coating = Food grade epoxy 406 micron</t>
  </si>
  <si>
    <t>MKTG/ENQ/26-27/635</t>
  </si>
  <si>
    <t>Date: 14-10-2026</t>
  </si>
  <si>
    <t>TO BE SUPPLIED FROM 30 Days from Dispatch</t>
  </si>
  <si>
    <t>Our Price CIF for Konar, Jharkhand Project
The prices are offered are in meter basis.</t>
  </si>
  <si>
    <t>NIT No. Project Site, Gujarat</t>
  </si>
  <si>
    <t>Enquiry Received Date: 12.10.2026</t>
  </si>
  <si>
    <t>Sizes_HSAW_ID</t>
  </si>
  <si>
    <t>(No quotation lines added yet. Use Section 2 above to select product and click '+ ADD ITEM TO QUOTE')</t>
  </si>
  <si>
    <t>3. CURRENT QUOTATION LINE ITEMS (0 of 10 sizes added)</t>
  </si>
  <si>
    <t>Ready. Select specifications above and click '+ ADD ITEM TO QUOTE'.</t>
  </si>
  <si>
    <t>MEGA PIPES - COMMERCIAL ESTIMATION SYSTEM</t>
  </si>
  <si>
    <t>COMMERCIAL STATUS:_x000D_
QUOTATION CONSOLE READY</t>
  </si>
  <si>
    <t>QUOTATION CAPACITY &amp; STATUS</t>
  </si>
  <si>
    <t>QUOTATION CAPACITY_x000D_
0 of 10 sizes added_x000D_
(10 sizes remaining)</t>
  </si>
  <si>
    <t>ESTIMATION GUIDELINES:_x000D_
- Up to 10 pipe sizes supported per quote._x000D_
- Click 'CALCULATE QUOTATION' after modifying lines._x000D_
- Review Offer &amp; Synopsis before PDF export.</t>
  </si>
  <si>
    <t>SYSTEM CAPABILITIES:_x000D_
- Multi-plant freight optimization (P01 / P02)_x000D_
- Full support for custom diameters &amp; wall thickness</t>
  </si>
  <si>
    <t>Tip: Select Family &amp; Basis to populate standard sizes._x000D_
For non-standard OD/ID or WT, click 'CUSTOM PIPE SIZE'.</t>
  </si>
  <si>
    <t>QUOTATION COMMAND CENTER &amp; ACTIONS</t>
  </si>
  <si>
    <t>0 of 10</t>
  </si>
  <si>
    <t>Automated Welded Steel Pipe Quotation Engine | Version 2.0</t>
  </si>
  <si>
    <t>QUOTATION STATUS DASHBOARD</t>
  </si>
  <si>
    <t>None (Click NEW QUOTATION)</t>
  </si>
  <si>
    <t>Not Selected</t>
  </si>
  <si>
    <t>Rs. 0</t>
  </si>
  <si>
    <t>Mega Pipes Quotation System | Confidential &amp; Proprietary | All Rights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</si>
</sst>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0.00000000"/>
    <numFmt numFmtId="165" formatCode="#,##0.000"/>
  </numFmts>
  <fonts count="3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7.5"/>
      <color rgb="FF969696"/>
      <name val="Calibri"/>
      <family val="2"/>
      <scheme val="minor"/>
    </font>
    <font>
      <b/>
      <sz val="11"/>
      <color rgb="FF783C00"/>
      <name val="Calibri"/>
      <family val="2"/>
      <scheme val="minor"/>
    </font>
    <font>
      <b/>
      <sz val="9.5"/>
      <color rgb="FF201921"/>
      <name val="Calibri"/>
      <family val="2"/>
      <scheme val="minor"/>
    </font>
    <font>
      <b/>
      <sz val="9.5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9.5"/>
      <color rgb="FF706C00"/>
      <name val="Calibri"/>
      <family val="2"/>
      <scheme val="minor"/>
    </font>
    <font>
      <b/>
      <sz val="10.5"/>
      <color rgb="FF201921"/>
      <name val="Calibri"/>
      <family val="2"/>
      <scheme val="minor"/>
    </font>
    <font>
      <sz val="8.5"/>
      <color rgb="FF3C503C"/>
      <name val="Calibri"/>
      <family val="2"/>
      <scheme val="minor"/>
    </font>
    <font>
      <b/>
      <sz val="9.5"/>
      <color rgb="FF1E2D1E"/>
      <name val="Calibri"/>
      <family val="2"/>
      <scheme val="minor"/>
    </font>
    <font>
      <b/>
      <sz val="20"/>
      <color rgb="FF2F75B5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"/>
      <color rgb="FF14325A"/>
      <name val="Calibri"/>
      <family val="2"/>
      <scheme val="minor"/>
    </font>
    <font>
      <b/>
      <sz val="9.5"/>
      <color rgb="FF282828"/>
      <name val="Calibri"/>
      <family val="2"/>
      <scheme val="minor"/>
    </font>
    <font>
      <i/>
      <sz val="9.5"/>
      <color rgb="FF787878"/>
      <name val="Calibri"/>
      <family val="2"/>
      <scheme val="minor"/>
    </font>
    <font>
      <b/>
      <sz val="10.5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9.5"/>
      <color rgb="FF101360"/>
      <name val="Calibri"/>
      <family val="2"/>
      <scheme val="minor"/>
    </font>
    <font>
      <sz val="9.5"/>
      <color rgb="FF282828"/>
      <name val="Calibri"/>
      <family val="2"/>
      <scheme val="minor"/>
    </font>
    <font>
      <b/>
      <sz val="9"/>
      <color rgb="FF201921"/>
      <name val="Calibri"/>
      <family val="2"/>
      <scheme val="minor"/>
    </font>
    <font>
      <b/>
      <sz val="11"/>
      <color rgb="FF506450"/>
      <name val="Calibri"/>
      <family val="2"/>
      <scheme val="minor"/>
    </font>
    <font>
      <sz val="8.5"/>
      <color rgb="FF3C4B3C"/>
      <name val="Calibri"/>
      <family val="2"/>
      <scheme val="minor"/>
    </font>
    <font>
      <sz val="8.5"/>
      <color rgb="FF464646"/>
      <name val="Calibri"/>
      <family val="2"/>
      <scheme val="minor"/>
    </font>
    <font>
      <i/>
      <sz val="8.5"/>
      <color rgb="FF646464"/>
      <name val="Calibri"/>
      <family val="2"/>
      <scheme val="minor"/>
    </font>
    <font>
      <sz val="9.5"/>
      <color rgb="FFFFFFFF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  <fill>
      <patternFill patternType="solid">
        <fgColor rgb="FF1A522D"/>
        <bgColor indexed="64"/>
      </patternFill>
    </fill>
    <fill>
      <patternFill patternType="solid">
        <fgColor rgb="FFFAFCFA"/>
        <bgColor indexed="64"/>
      </patternFill>
    </fill>
    <fill>
      <patternFill patternType="solid">
        <fgColor rgb="FFF2F8F2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F8EE"/>
        <bgColor indexed="64"/>
      </patternFill>
    </fill>
    <fill>
      <patternFill patternType="solid">
        <fgColor rgb="FFFCFEFC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ED7BE"/>
      </left>
      <right style="thin">
        <color rgb="FFBED7BE"/>
      </right>
      <top style="thin">
        <color rgb="FFBED7BE"/>
      </top>
      <bottom style="thin">
        <color rgb="FFBED7BE"/>
      </bottom>
      <diagonal/>
    </border>
    <border>
      <left style="thin">
        <color rgb="FFC8D7E6"/>
      </left>
      <right style="thin">
        <color rgb="FFC8D7E6"/>
      </right>
      <top style="thin">
        <color rgb="FFC8D7E6"/>
      </top>
      <bottom style="thin">
        <color rgb="FFC8D7E6"/>
      </bottom>
      <diagonal/>
    </border>
    <border>
      <left style="thin">
        <color rgb="FFA0BEDC"/>
      </left>
      <right style="thin">
        <color rgb="FFA0BEDC"/>
      </right>
      <top style="thin">
        <color rgb="FFA0BEDC"/>
      </top>
      <bottom style="thin">
        <color rgb="FFA0BEDC"/>
      </bottom>
      <diagonal/>
    </border>
    <border>
      <left style="medium">
        <color rgb="FF8CAFD7"/>
      </left>
      <right style="medium">
        <color rgb="FF8CAFD7"/>
      </right>
      <top style="medium">
        <color rgb="FF8CAFD7"/>
      </top>
      <bottom style="medium">
        <color rgb="FF8CAFD7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D2E1F0"/>
      </left>
      <right style="thin">
        <color rgb="FFD2E1F0"/>
      </right>
      <top style="thin">
        <color rgb="FFD2E1F0"/>
      </top>
      <bottom style="thin">
        <color rgb="FFD2E1F0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5" fillId="0" borderId="0" xfId="0" applyFont="1" applyProtection="1">
      <protection locked="0"/>
    </xf>
    <xf numFmtId="0" fontId="3" fillId="5" borderId="0" xfId="0" applyFont="1" applyFill="1" applyProtection="1">
      <protection locked="0"/>
    </xf>
    <xf numFmtId="7" fontId="0" fillId="0" borderId="0" xfId="0" applyNumberFormat="1" applyProtection="1">
      <protection locked="0"/>
    </xf>
    <xf numFmtId="0" fontId="6" fillId="0" borderId="0" xfId="0" applyFont="1" applyProtection="1">
      <protection locked="0"/>
    </xf>
    <xf numFmtId="22" fontId="0" fillId="0" borderId="0" xfId="0" applyNumberFormat="1" applyProtection="1">
      <protection locked="0"/>
    </xf>
    <xf numFmtId="0" fontId="3" fillId="0" borderId="0" xfId="0" applyFont="1"/>
    <xf numFmtId="0" fontId="3" fillId="6" borderId="0" xfId="0" applyFont="1" applyFill="1"/>
    <xf numFmtId="0" fontId="0" fillId="4" borderId="0" xfId="0" applyFill="1"/>
    <xf numFmtId="0" fontId="2" fillId="3" borderId="0" xfId="0" applyFont="1" applyFill="1"/>
    <xf numFmtId="0" fontId="8" fillId="6" borderId="5" xfId="0" applyFont="1" applyFill="1" applyBorder="1"/>
    <xf numFmtId="0" fontId="2" fillId="3" borderId="5" xfId="0" applyFont="1" applyFill="1" applyBorder="1"/>
    <xf numFmtId="0" fontId="7" fillId="7" borderId="5" xfId="0" applyFont="1" applyFill="1" applyBorder="1"/>
    <xf numFmtId="0" fontId="7" fillId="8" borderId="5" xfId="0" applyFont="1" applyFill="1" applyBorder="1"/>
    <xf numFmtId="164" fontId="7" fillId="8" borderId="5" xfId="0" applyNumberFormat="1" applyFont="1" applyFill="1" applyBorder="1"/>
    <xf numFmtId="0" fontId="8" fillId="4" borderId="5" xfId="0" applyFont="1" applyFill="1" applyBorder="1"/>
    <xf numFmtId="0" fontId="7" fillId="9" borderId="5" xfId="0" applyFont="1" applyFill="1" applyBorder="1"/>
    <xf numFmtId="0" fontId="0" fillId="0" borderId="5" xfId="0" applyBorder="1"/>
    <xf numFmtId="0" fontId="7" fillId="10" borderId="5" xfId="0" applyFont="1" applyFill="1" applyBorder="1"/>
    <xf numFmtId="0" fontId="9" fillId="11" borderId="5" xfId="0" applyFont="1" applyFill="1" applyBorder="1"/>
    <xf numFmtId="0" fontId="7" fillId="12" borderId="5" xfId="0" applyFont="1" applyFill="1" applyBorder="1"/>
    <xf numFmtId="0" fontId="8" fillId="9" borderId="5" xfId="0" applyFont="1" applyFill="1" applyBorder="1"/>
    <xf numFmtId="0" fontId="2" fillId="7" borderId="5" xfId="0" applyFont="1" applyFill="1" applyBorder="1"/>
    <xf numFmtId="0" fontId="10" fillId="0" borderId="0" xfId="0" applyFont="1"/>
    <xf numFmtId="0" fontId="0" fillId="0" borderId="0" xfId="0" applyAlignment="1">
      <alignment wrapText="1"/>
    </xf>
    <xf numFmtId="3" fontId="0" fillId="0" borderId="5" xfId="0" applyNumberFormat="1" applyBorder="1"/>
    <xf numFmtId="3" fontId="8" fillId="4" borderId="5" xfId="0" applyNumberFormat="1" applyFont="1" applyFill="1" applyBorder="1"/>
    <xf numFmtId="0" fontId="17" fillId="9" borderId="2" xfId="0" applyFont="1" applyFill="1" applyBorder="1" applyProtection="1">
      <protection locked="0"/>
    </xf>
    <xf numFmtId="0" fontId="18" fillId="9" borderId="2" xfId="0" applyFont="1" applyFill="1" applyBorder="1" applyProtection="1">
      <protection locked="0"/>
    </xf>
    <xf numFmtId="0" fontId="13" fillId="21" borderId="6" xfId="0" applyFont="1" applyFill="1" applyBorder="1" applyAlignment="1" applyProtection="1">
      <alignment horizontal="left" vertical="center"/>
      <protection locked="0"/>
    </xf>
    <xf numFmtId="0" fontId="22" fillId="13" borderId="4" xfId="0" applyFont="1" applyFill="1" applyBorder="1" applyAlignment="1" applyProtection="1">
      <alignment horizontal="left" vertical="center"/>
      <protection locked="0"/>
    </xf>
    <xf numFmtId="0" fontId="26" fillId="24" borderId="8" xfId="0" applyFont="1" applyFill="1" applyBorder="1" applyAlignment="1" applyProtection="1">
      <alignment horizontal="center" vertical="center" wrapText="1"/>
      <protection locked="0"/>
    </xf>
    <xf numFmtId="0" fontId="25" fillId="24" borderId="9" xfId="0" applyFont="1" applyFill="1" applyBorder="1" applyProtection="1">
      <protection locked="0"/>
    </xf>
    <xf numFmtId="0" fontId="4" fillId="9" borderId="11" xfId="0" applyFont="1" applyFill="1" applyBorder="1" applyAlignment="1" applyProtection="1">
      <alignment horizontal="center" vertical="center"/>
      <protection locked="0"/>
    </xf>
    <xf numFmtId="1" fontId="4" fillId="9" borderId="11" xfId="0" applyNumberFormat="1" applyFont="1" applyFill="1" applyBorder="1" applyAlignment="1" applyProtection="1">
      <alignment horizontal="center" vertical="center"/>
      <protection locked="0"/>
    </xf>
    <xf numFmtId="2" fontId="4" fillId="9" borderId="11" xfId="0" applyNumberFormat="1" applyFont="1" applyFill="1" applyBorder="1" applyAlignment="1" applyProtection="1">
      <alignment horizontal="center" vertical="center"/>
      <protection locked="0"/>
    </xf>
    <xf numFmtId="4" fontId="4" fillId="9" borderId="11" xfId="0" applyNumberFormat="1" applyFont="1" applyFill="1" applyBorder="1" applyAlignment="1" applyProtection="1">
      <alignment horizontal="center" vertical="center"/>
      <protection locked="0"/>
    </xf>
    <xf numFmtId="3" fontId="4" fillId="9" borderId="11" xfId="0" applyNumberFormat="1" applyFont="1" applyFill="1" applyBorder="1" applyAlignment="1" applyProtection="1">
      <alignment horizontal="center" vertical="center"/>
      <protection locked="0"/>
    </xf>
    <xf numFmtId="165" fontId="4" fillId="9" borderId="11" xfId="0" applyNumberFormat="1" applyFont="1" applyFill="1" applyBorder="1" applyAlignment="1" applyProtection="1">
      <alignment horizontal="center" vertical="center"/>
      <protection locked="0"/>
    </xf>
    <xf numFmtId="4" fontId="25" fillId="24" borderId="9" xfId="0" applyNumberFormat="1" applyFont="1" applyFill="1" applyBorder="1" applyProtection="1">
      <protection locked="0"/>
    </xf>
    <xf numFmtId="3" fontId="25" fillId="24" borderId="9" xfId="0" applyNumberFormat="1" applyFont="1" applyFill="1" applyBorder="1" applyProtection="1">
      <protection locked="0"/>
    </xf>
    <xf numFmtId="165" fontId="25" fillId="24" borderId="9" xfId="0" applyNumberFormat="1" applyFont="1" applyFill="1" applyBorder="1" applyProtection="1">
      <protection locked="0"/>
    </xf>
    <xf numFmtId="0" fontId="4" fillId="26" borderId="11" xfId="0" applyFont="1" applyFill="1" applyBorder="1" applyAlignment="1" applyProtection="1">
      <alignment horizontal="center" vertical="center"/>
      <protection locked="0"/>
    </xf>
    <xf numFmtId="1" fontId="4" fillId="26" borderId="11" xfId="0" applyNumberFormat="1" applyFont="1" applyFill="1" applyBorder="1" applyAlignment="1" applyProtection="1">
      <alignment horizontal="center" vertical="center"/>
      <protection locked="0"/>
    </xf>
    <xf numFmtId="2" fontId="4" fillId="26" borderId="11" xfId="0" applyNumberFormat="1" applyFont="1" applyFill="1" applyBorder="1" applyAlignment="1" applyProtection="1">
      <alignment horizontal="center" vertical="center"/>
      <protection locked="0"/>
    </xf>
    <xf numFmtId="4" fontId="4" fillId="26" borderId="11" xfId="0" applyNumberFormat="1" applyFont="1" applyFill="1" applyBorder="1" applyAlignment="1" applyProtection="1">
      <alignment horizontal="center" vertical="center"/>
      <protection locked="0"/>
    </xf>
    <xf numFmtId="3" fontId="4" fillId="26" borderId="11" xfId="0" applyNumberFormat="1" applyFont="1" applyFill="1" applyBorder="1" applyAlignment="1" applyProtection="1">
      <alignment horizontal="center" vertical="center"/>
      <protection locked="0"/>
    </xf>
    <xf numFmtId="165" fontId="4" fillId="26" borderId="11" xfId="0" applyNumberFormat="1" applyFont="1" applyFill="1" applyBorder="1" applyAlignment="1" applyProtection="1">
      <alignment horizontal="center" vertical="center"/>
      <protection locked="0"/>
    </xf>
    <xf numFmtId="0" fontId="15" fillId="15" borderId="0" xfId="0" applyFont="1" applyFill="1" applyAlignment="1" applyProtection="1">
      <alignment horizontal="center" vertical="center"/>
      <protection locked="0"/>
    </xf>
    <xf numFmtId="0" fontId="22" fillId="9" borderId="4" xfId="0" applyFont="1" applyFill="1" applyBorder="1" applyAlignment="1" applyProtection="1">
      <alignment horizontal="left" vertical="center"/>
      <protection locked="0"/>
    </xf>
    <xf numFmtId="0" fontId="22" fillId="17" borderId="4" xfId="0" applyFont="1" applyFill="1" applyBorder="1" applyAlignment="1" applyProtection="1">
      <alignment horizontal="left" vertical="center"/>
      <protection locked="0"/>
    </xf>
    <xf numFmtId="0" fontId="32" fillId="19" borderId="6" xfId="0" applyFont="1" applyFill="1" applyBorder="1" applyAlignment="1" applyProtection="1">
      <alignment horizontal="left" vertical="center"/>
      <protection locked="0"/>
    </xf>
    <xf numFmtId="0" fontId="17" fillId="19" borderId="6" xfId="0" applyFont="1" applyFill="1" applyBorder="1" applyAlignment="1" applyProtection="1">
      <alignment horizontal="right" vertical="center"/>
      <protection locked="0"/>
    </xf>
    <xf numFmtId="0" fontId="32" fillId="9" borderId="6" xfId="0" applyFont="1" applyFill="1" applyBorder="1" applyAlignment="1" applyProtection="1">
      <alignment horizontal="left" vertical="center"/>
      <protection locked="0"/>
    </xf>
    <xf numFmtId="0" fontId="17" fillId="9" borderId="6" xfId="0" applyFont="1" applyFill="1" applyBorder="1" applyAlignment="1" applyProtection="1">
      <alignment horizontal="right" vertical="center"/>
      <protection locked="0"/>
    </xf>
    <xf numFmtId="0" fontId="27" fillId="20" borderId="6" xfId="0" applyFont="1" applyFill="1" applyBorder="1" applyAlignment="1" applyProtection="1">
      <alignment horizontal="left" vertical="center"/>
      <protection locked="0"/>
    </xf>
    <xf numFmtId="0" fontId="18" fillId="20" borderId="6" xfId="0" applyFont="1" applyFill="1" applyBorder="1" applyAlignment="1" applyProtection="1">
      <alignment horizontal="right" vertical="center"/>
      <protection locked="0"/>
    </xf>
    <xf numFmtId="0" fontId="13" fillId="21" borderId="6" xfId="0" applyFont="1" applyFill="1" applyBorder="1" applyAlignment="1" applyProtection="1">
      <alignment horizontal="right" vertical="center"/>
      <protection locked="0"/>
    </xf>
    <xf numFmtId="0" fontId="17" fillId="9" borderId="6" xfId="0" applyFont="1" applyFill="1" applyBorder="1" applyAlignment="1" applyProtection="1">
      <alignment horizontal="center" vertical="center"/>
      <protection locked="0"/>
    </xf>
    <xf numFmtId="0" fontId="17" fillId="19" borderId="6" xfId="0" applyFont="1" applyFill="1" applyBorder="1" applyAlignment="1" applyProtection="1">
      <alignment horizontal="center" vertical="center"/>
      <protection locked="0"/>
    </xf>
    <xf numFmtId="49" fontId="18" fillId="19" borderId="6" xfId="0" applyNumberFormat="1" applyFont="1" applyFill="1" applyBorder="1" applyAlignment="1" applyProtection="1">
      <alignment horizontal="center" vertical="center"/>
      <protection locked="0"/>
    </xf>
    <xf numFmtId="0" fontId="0" fillId="19" borderId="4" xfId="0" applyFill="1" applyBorder="1" applyProtection="1">
      <protection locked="0"/>
    </xf>
    <xf numFmtId="0" fontId="16" fillId="14" borderId="0" xfId="0" applyFont="1" applyFill="1" applyAlignment="1" applyProtection="1">
      <alignment horizontal="center" vertical="center"/>
      <protection locked="0"/>
    </xf>
    <xf numFmtId="0" fontId="38" fillId="15" borderId="0" xfId="0" applyFont="1" applyFill="1" applyAlignment="1" applyProtection="1">
      <alignment horizontal="center" vertical="center"/>
      <protection locked="0"/>
    </xf>
    <xf numFmtId="0" fontId="11" fillId="13" borderId="0" xfId="0" applyFont="1" applyFill="1" applyAlignment="1" applyProtection="1">
      <alignment horizontal="center"/>
      <protection locked="0"/>
    </xf>
    <xf numFmtId="0" fontId="12" fillId="13" borderId="0" xfId="0" applyFont="1" applyFill="1" applyAlignment="1" applyProtection="1">
      <alignment horizontal="center"/>
      <protection locked="0"/>
    </xf>
    <xf numFmtId="0" fontId="20" fillId="13" borderId="0" xfId="0" applyFont="1" applyFill="1" applyAlignment="1" applyProtection="1">
      <alignment horizontal="center"/>
      <protection locked="0"/>
    </xf>
    <xf numFmtId="0" fontId="18" fillId="9" borderId="2" xfId="0" applyFont="1" applyFill="1" applyBorder="1" applyProtection="1">
      <protection locked="0"/>
    </xf>
    <xf numFmtId="0" fontId="17" fillId="9" borderId="2" xfId="0" applyFont="1" applyFill="1" applyBorder="1" applyProtection="1">
      <protection locked="0"/>
    </xf>
    <xf numFmtId="0" fontId="19" fillId="9" borderId="2" xfId="0" applyFont="1" applyFill="1" applyBorder="1" applyProtection="1">
      <protection locked="0"/>
    </xf>
    <xf numFmtId="0" fontId="21" fillId="16" borderId="3" xfId="0" applyFont="1" applyFill="1" applyBorder="1" applyAlignment="1" applyProtection="1">
      <alignment horizontal="center" vertical="center" wrapText="1"/>
      <protection locked="0"/>
    </xf>
    <xf numFmtId="0" fontId="14" fillId="17" borderId="4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29" fillId="18" borderId="6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7" fillId="9" borderId="4" xfId="0" applyFont="1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33" fillId="28" borderId="6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35" fillId="29" borderId="6" xfId="0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36" fillId="13" borderId="6" xfId="0" applyFont="1" applyFill="1" applyBorder="1" applyAlignment="1" applyProtection="1">
      <alignment horizontal="left" vertical="center" wrapText="1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9" fillId="14" borderId="4" xfId="0" applyFont="1" applyFill="1" applyBorder="1" applyAlignment="1" applyProtection="1">
      <alignment horizontal="center" vertical="center"/>
      <protection locked="0"/>
    </xf>
    <xf numFmtId="0" fontId="31" fillId="22" borderId="4" xfId="0" applyFont="1" applyFill="1" applyBorder="1" applyAlignment="1" applyProtection="1">
      <alignment horizontal="left" vertical="center"/>
      <protection locked="0"/>
    </xf>
    <xf numFmtId="0" fontId="34" fillId="17" borderId="4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37" fillId="27" borderId="4" xfId="0" applyFont="1" applyFill="1" applyBorder="1" applyAlignment="1" applyProtection="1">
      <alignment horizontal="center" vertical="center" wrapText="1"/>
      <protection locked="0"/>
    </xf>
    <xf numFmtId="0" fontId="29" fillId="14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7" fillId="25" borderId="10" xfId="0" applyFont="1" applyFill="1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24" fillId="0" borderId="7" xfId="0" applyFont="1" applyBorder="1" applyProtection="1">
      <protection locked="0"/>
    </xf>
    <xf numFmtId="0" fontId="26" fillId="24" borderId="8" xfId="0" applyFont="1" applyFill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wrapText="1"/>
      <protection locked="0"/>
    </xf>
    <xf numFmtId="0" fontId="23" fillId="23" borderId="0" xfId="0" applyFont="1" applyFill="1" applyAlignment="1" applyProtection="1">
      <alignment horizontal="center" vertical="center"/>
      <protection locked="0"/>
    </xf>
    <xf numFmtId="0" fontId="25" fillId="0" borderId="7" xfId="0" applyFont="1" applyBorder="1" applyProtection="1">
      <protection locked="0"/>
    </xf>
    <xf numFmtId="0" fontId="0" fillId="13" borderId="0" xfId="0" applyFont="1" applyFill="1" applyProtection="1">
      <protection locked="0"/>
    </xf>
    <xf numFmtId="0" fontId="0" fillId="13" borderId="0" xfId="0" applyFont="1" applyFill="1" applyAlignment="1" applyProtection="1">
      <alignment horizontal="center" vertical="center"/>
      <protection locked="0"/>
    </xf>
    <xf numFmtId="0" fontId="28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</cellXfs>
  <cellStyles count="1">
    <cellStyle name="Normal" xfId="0" builtinId="0"/>
  </cellStyles>
  <dxfs count="178"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1555750</xdr:colOff>
      <xdr:row>15</xdr:row>
      <xdr:rowOff>279400</xdr:rowOff>
    </xdr:to>
    <xdr:sp macro="modUI.UI_NewQuotation" textlink="">
      <xdr:nvSpPr>
        <xdr:cNvPr id="18" name="btnStartNew">
          <a:extLst>
            <a:ext uri="{FF2B5EF4-FFF2-40B4-BE49-F238E27FC236}">
              <a16:creationId xmlns:a16="http://schemas.microsoft.com/office/drawing/2014/main" id="{BDCA1F2C-D45C-DB9E-14B2-D1B719969E6C}"/>
            </a:ext>
          </a:extLst>
        </xdr:cNvPr>
        <xdr:cNvSpPr/>
      </xdr:nvSpPr>
      <xdr:spPr>
        <a:xfrm>
          <a:off x="349250" y="3124200"/>
          <a:ext cx="78549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2</xdr:col>
      <xdr:colOff>1555750</xdr:colOff>
      <xdr:row>17</xdr:row>
      <xdr:rowOff>279400</xdr:rowOff>
    </xdr:to>
    <xdr:sp macro="modUI.UI_OpenQuotation" textlink="">
      <xdr:nvSpPr>
        <xdr:cNvPr id="19" name="btnStartOpen">
          <a:extLst>
            <a:ext uri="{FF2B5EF4-FFF2-40B4-BE49-F238E27FC236}">
              <a16:creationId xmlns:a16="http://schemas.microsoft.com/office/drawing/2014/main" id="{1F5154D9-EA13-6C72-7D1A-BB4D179A4725}"/>
            </a:ext>
          </a:extLst>
        </xdr:cNvPr>
        <xdr:cNvSpPr/>
      </xdr:nvSpPr>
      <xdr:spPr>
        <a:xfrm>
          <a:off x="349250" y="3733800"/>
          <a:ext cx="31115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3</xdr:col>
      <xdr:colOff>25400</xdr:colOff>
      <xdr:row>17</xdr:row>
      <xdr:rowOff>25400</xdr:rowOff>
    </xdr:from>
    <xdr:to>
      <xdr:col>5</xdr:col>
      <xdr:colOff>1555750</xdr:colOff>
      <xdr:row>17</xdr:row>
      <xdr:rowOff>279400</xdr:rowOff>
    </xdr:to>
    <xdr:sp macro="modUI.UI_QuotationHistory" textlink="">
      <xdr:nvSpPr>
        <xdr:cNvPr id="20" name="btnStartHistory">
          <a:extLst>
            <a:ext uri="{FF2B5EF4-FFF2-40B4-BE49-F238E27FC236}">
              <a16:creationId xmlns:a16="http://schemas.microsoft.com/office/drawing/2014/main" id="{853726B6-0B9D-0EC7-6CC5-A81068A4E0D8}"/>
            </a:ext>
          </a:extLst>
        </xdr:cNvPr>
        <xdr:cNvSpPr/>
      </xdr:nvSpPr>
      <xdr:spPr>
        <a:xfrm>
          <a:off x="3511550" y="3733800"/>
          <a:ext cx="4692650" cy="254000"/>
        </a:xfrm>
        <a:prstGeom prst="roundRect">
          <a:avLst/>
        </a:prstGeom>
        <a:solidFill>
          <a:srgbClr val="3C5A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QUOTATION HISTORY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2</xdr:col>
      <xdr:colOff>1555750</xdr:colOff>
      <xdr:row>19</xdr:row>
      <xdr:rowOff>279400</xdr:rowOff>
    </xdr:to>
    <xdr:sp macro="modUI.UI_PreviewOffer" textlink="">
      <xdr:nvSpPr>
        <xdr:cNvPr id="21" name="btnStartPreview">
          <a:extLst>
            <a:ext uri="{FF2B5EF4-FFF2-40B4-BE49-F238E27FC236}">
              <a16:creationId xmlns:a16="http://schemas.microsoft.com/office/drawing/2014/main" id="{2914EED5-CB73-AFAB-9F0B-5DEE727CED8E}"/>
            </a:ext>
          </a:extLst>
        </xdr:cNvPr>
        <xdr:cNvSpPr/>
      </xdr:nvSpPr>
      <xdr:spPr>
        <a:xfrm>
          <a:off x="349250" y="4343400"/>
          <a:ext cx="3111500" cy="254000"/>
        </a:xfrm>
        <a:prstGeom prst="roundRect">
          <a:avLst/>
        </a:prstGeom>
        <a:solidFill>
          <a:srgbClr val="5A6E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3</xdr:col>
      <xdr:colOff>25400</xdr:colOff>
      <xdr:row>19</xdr:row>
      <xdr:rowOff>25400</xdr:rowOff>
    </xdr:from>
    <xdr:to>
      <xdr:col>5</xdr:col>
      <xdr:colOff>1555750</xdr:colOff>
      <xdr:row>19</xdr:row>
      <xdr:rowOff>279400</xdr:rowOff>
    </xdr:to>
    <xdr:sp macro="modUI.UI_PreviewSynopsis" textlink="">
      <xdr:nvSpPr>
        <xdr:cNvPr id="22" name="btnStartSynopsis">
          <a:extLst>
            <a:ext uri="{FF2B5EF4-FFF2-40B4-BE49-F238E27FC236}">
              <a16:creationId xmlns:a16="http://schemas.microsoft.com/office/drawing/2014/main" id="{ABAA73CA-8208-330D-F568-66BB9BF19CA8}"/>
            </a:ext>
          </a:extLst>
        </xdr:cNvPr>
        <xdr:cNvSpPr/>
      </xdr:nvSpPr>
      <xdr:spPr>
        <a:xfrm>
          <a:off x="3511550" y="4343400"/>
          <a:ext cx="4692650" cy="2540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SYNOPSIS REPORT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1555750</xdr:colOff>
      <xdr:row>21</xdr:row>
      <xdr:rowOff>279400</xdr:rowOff>
    </xdr:to>
    <xdr:sp macro="modUI.UI_ExportPDF" textlink="">
      <xdr:nvSpPr>
        <xdr:cNvPr id="23" name="btnStartPDF">
          <a:extLst>
            <a:ext uri="{FF2B5EF4-FFF2-40B4-BE49-F238E27FC236}">
              <a16:creationId xmlns:a16="http://schemas.microsoft.com/office/drawing/2014/main" id="{5CAF469A-D9D6-DD7C-FCED-CC6A700DCE66}"/>
            </a:ext>
          </a:extLst>
        </xdr:cNvPr>
        <xdr:cNvSpPr/>
      </xdr:nvSpPr>
      <xdr:spPr>
        <a:xfrm>
          <a:off x="349250" y="4953000"/>
          <a:ext cx="31115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1555750</xdr:colOff>
      <xdr:row>21</xdr:row>
      <xdr:rowOff>279400</xdr:rowOff>
    </xdr:to>
    <xdr:sp macro="modUI.UI_ExportCustomerExcel" textlink="">
      <xdr:nvSpPr>
        <xdr:cNvPr id="24" name="btnStartExcel">
          <a:extLst>
            <a:ext uri="{FF2B5EF4-FFF2-40B4-BE49-F238E27FC236}">
              <a16:creationId xmlns:a16="http://schemas.microsoft.com/office/drawing/2014/main" id="{2F687CF1-133D-BEB6-E88D-A2CD3B60C725}"/>
            </a:ext>
          </a:extLst>
        </xdr:cNvPr>
        <xdr:cNvSpPr/>
      </xdr:nvSpPr>
      <xdr:spPr>
        <a:xfrm>
          <a:off x="3511550" y="4953000"/>
          <a:ext cx="46926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1555750</xdr:colOff>
      <xdr:row>23</xdr:row>
      <xdr:rowOff>279400</xdr:rowOff>
    </xdr:to>
    <xdr:sp macro="modUI.UI_AdminUnlock" textlink="">
      <xdr:nvSpPr>
        <xdr:cNvPr id="25" name="btnStartAdmin">
          <a:extLst>
            <a:ext uri="{FF2B5EF4-FFF2-40B4-BE49-F238E27FC236}">
              <a16:creationId xmlns:a16="http://schemas.microsoft.com/office/drawing/2014/main" id="{CF38C829-A869-4C49-4B9C-FC3E07A97DB7}"/>
            </a:ext>
          </a:extLst>
        </xdr:cNvPr>
        <xdr:cNvSpPr/>
      </xdr:nvSpPr>
      <xdr:spPr>
        <a:xfrm>
          <a:off x="349250" y="5562600"/>
          <a:ext cx="78549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19</xdr:row>
      <xdr:rowOff>25400</xdr:rowOff>
    </xdr:from>
    <xdr:to>
      <xdr:col>4</xdr:col>
      <xdr:colOff>996950</xdr:colOff>
      <xdr:row>20</xdr:row>
      <xdr:rowOff>241300</xdr:rowOff>
    </xdr:to>
    <xdr:sp macro="modUI.UI_AddItem" textlink="">
      <xdr:nvSpPr>
        <xdr:cNvPr id="32" name="btnQuoteAdd">
          <a:extLst>
            <a:ext uri="{FF2B5EF4-FFF2-40B4-BE49-F238E27FC236}">
              <a16:creationId xmlns:a16="http://schemas.microsoft.com/office/drawing/2014/main" id="{CE634720-2415-9F99-5527-FBBE67CAF76C}"/>
            </a:ext>
          </a:extLst>
        </xdr:cNvPr>
        <xdr:cNvSpPr/>
      </xdr:nvSpPr>
      <xdr:spPr>
        <a:xfrm>
          <a:off x="4908550" y="4927600"/>
          <a:ext cx="2273300" cy="4826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5</xdr:col>
      <xdr:colOff>25400</xdr:colOff>
      <xdr:row>19</xdr:row>
      <xdr:rowOff>25400</xdr:rowOff>
    </xdr:from>
    <xdr:to>
      <xdr:col>6</xdr:col>
      <xdr:colOff>1136650</xdr:colOff>
      <xdr:row>20</xdr:row>
      <xdr:rowOff>241300</xdr:rowOff>
    </xdr:to>
    <xdr:sp macro="modUI.UI_DuplicateItem" textlink="">
      <xdr:nvSpPr>
        <xdr:cNvPr id="33" name="btnQuoteDuplicate">
          <a:extLst>
            <a:ext uri="{FF2B5EF4-FFF2-40B4-BE49-F238E27FC236}">
              <a16:creationId xmlns:a16="http://schemas.microsoft.com/office/drawing/2014/main" id="{21222008-3C0C-680F-D7C8-48656EF10D3F}"/>
            </a:ext>
          </a:extLst>
        </xdr:cNvPr>
        <xdr:cNvSpPr/>
      </xdr:nvSpPr>
      <xdr:spPr>
        <a:xfrm>
          <a:off x="7232650" y="4927600"/>
          <a:ext cx="2133600" cy="482600"/>
        </a:xfrm>
        <a:prstGeom prst="roundRect">
          <a:avLst/>
        </a:prstGeom>
        <a:solidFill>
          <a:srgbClr val="2878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DUPLICATE ITEM</a:t>
          </a:r>
        </a:p>
      </xdr:txBody>
    </xdr:sp>
    <xdr:clientData/>
  </xdr:twoCellAnchor>
  <xdr:twoCellAnchor>
    <xdr:from>
      <xdr:col>7</xdr:col>
      <xdr:colOff>25400</xdr:colOff>
      <xdr:row>19</xdr:row>
      <xdr:rowOff>25400</xdr:rowOff>
    </xdr:from>
    <xdr:to>
      <xdr:col>8</xdr:col>
      <xdr:colOff>857250</xdr:colOff>
      <xdr:row>20</xdr:row>
      <xdr:rowOff>241300</xdr:rowOff>
    </xdr:to>
    <xdr:sp macro="modUI.UI_EditItem" textlink="">
      <xdr:nvSpPr>
        <xdr:cNvPr id="34" name="btnQuoteEdit">
          <a:extLst>
            <a:ext uri="{FF2B5EF4-FFF2-40B4-BE49-F238E27FC236}">
              <a16:creationId xmlns:a16="http://schemas.microsoft.com/office/drawing/2014/main" id="{90666E80-01B3-D0B5-4746-4783F94FEFF3}"/>
            </a:ext>
          </a:extLst>
        </xdr:cNvPr>
        <xdr:cNvSpPr/>
      </xdr:nvSpPr>
      <xdr:spPr>
        <a:xfrm>
          <a:off x="9417050" y="4927600"/>
          <a:ext cx="2133600" cy="4826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EDIT SELECTED LINE</a:t>
          </a:r>
        </a:p>
      </xdr:txBody>
    </xdr:sp>
    <xdr:clientData/>
  </xdr:twoCellAnchor>
  <xdr:twoCellAnchor>
    <xdr:from>
      <xdr:col>3</xdr:col>
      <xdr:colOff>25400</xdr:colOff>
      <xdr:row>22</xdr:row>
      <xdr:rowOff>25400</xdr:rowOff>
    </xdr:from>
    <xdr:to>
      <xdr:col>4</xdr:col>
      <xdr:colOff>996950</xdr:colOff>
      <xdr:row>23</xdr:row>
      <xdr:rowOff>241300</xdr:rowOff>
    </xdr:to>
    <xdr:sp macro="modUI.UI_RemoveItem" textlink="">
      <xdr:nvSpPr>
        <xdr:cNvPr id="35" name="btnQuoteRemove">
          <a:extLst>
            <a:ext uri="{FF2B5EF4-FFF2-40B4-BE49-F238E27FC236}">
              <a16:creationId xmlns:a16="http://schemas.microsoft.com/office/drawing/2014/main" id="{CF079FA6-7510-3725-0C20-39A8253BDF56}"/>
            </a:ext>
          </a:extLst>
        </xdr:cNvPr>
        <xdr:cNvSpPr/>
      </xdr:nvSpPr>
      <xdr:spPr>
        <a:xfrm>
          <a:off x="4908550" y="5727700"/>
          <a:ext cx="2273300" cy="482600"/>
        </a:xfrm>
        <a:prstGeom prst="roundRect">
          <a:avLst/>
        </a:prstGeom>
        <a:solidFill>
          <a:srgbClr val="AA3C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- REMOVE LINE</a:t>
          </a:r>
        </a:p>
      </xdr:txBody>
    </xdr:sp>
    <xdr:clientData/>
  </xdr:twoCellAnchor>
  <xdr:twoCellAnchor>
    <xdr:from>
      <xdr:col>5</xdr:col>
      <xdr:colOff>25400</xdr:colOff>
      <xdr:row>22</xdr:row>
      <xdr:rowOff>25400</xdr:rowOff>
    </xdr:from>
    <xdr:to>
      <xdr:col>6</xdr:col>
      <xdr:colOff>1136650</xdr:colOff>
      <xdr:row>23</xdr:row>
      <xdr:rowOff>241300</xdr:rowOff>
    </xdr:to>
    <xdr:sp macro="modUI.UI_ClearLine" textlink="">
      <xdr:nvSpPr>
        <xdr:cNvPr id="36" name="btnQuoteClearLine">
          <a:extLst>
            <a:ext uri="{FF2B5EF4-FFF2-40B4-BE49-F238E27FC236}">
              <a16:creationId xmlns:a16="http://schemas.microsoft.com/office/drawing/2014/main" id="{D0BD3622-32DB-076F-EBA7-BF74ED73BC9F}"/>
            </a:ext>
          </a:extLst>
        </xdr:cNvPr>
        <xdr:cNvSpPr/>
      </xdr:nvSpPr>
      <xdr:spPr>
        <a:xfrm>
          <a:off x="7232650" y="5727700"/>
          <a:ext cx="2133600" cy="482600"/>
        </a:xfrm>
        <a:prstGeom prst="roundRect">
          <a:avLst/>
        </a:prstGeom>
        <a:solidFill>
          <a:srgbClr val="6E78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LINE INPUTS</a:t>
          </a:r>
        </a:p>
      </xdr:txBody>
    </xdr:sp>
    <xdr:clientData/>
  </xdr:twoCellAnchor>
  <xdr:twoCellAnchor>
    <xdr:from>
      <xdr:col>7</xdr:col>
      <xdr:colOff>25400</xdr:colOff>
      <xdr:row>22</xdr:row>
      <xdr:rowOff>25400</xdr:rowOff>
    </xdr:from>
    <xdr:to>
      <xdr:col>8</xdr:col>
      <xdr:colOff>857250</xdr:colOff>
      <xdr:row>23</xdr:row>
      <xdr:rowOff>241300</xdr:rowOff>
    </xdr:to>
    <xdr:sp macro="modUI.UI_ClearAllItems" textlink="">
      <xdr:nvSpPr>
        <xdr:cNvPr id="37" name="btnQuoteClear">
          <a:extLst>
            <a:ext uri="{FF2B5EF4-FFF2-40B4-BE49-F238E27FC236}">
              <a16:creationId xmlns:a16="http://schemas.microsoft.com/office/drawing/2014/main" id="{DF5CD009-98F5-33C1-E1DD-175CA4D56E01}"/>
            </a:ext>
          </a:extLst>
        </xdr:cNvPr>
        <xdr:cNvSpPr/>
      </xdr:nvSpPr>
      <xdr:spPr>
        <a:xfrm>
          <a:off x="9417050" y="5727700"/>
          <a:ext cx="2133600" cy="482600"/>
        </a:xfrm>
        <a:prstGeom prst="roundRect">
          <a:avLst/>
        </a:prstGeom>
        <a:solidFill>
          <a:srgbClr val="5A5A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  <xdr:twoCellAnchor>
    <xdr:from>
      <xdr:col>3</xdr:col>
      <xdr:colOff>25400</xdr:colOff>
      <xdr:row>25</xdr:row>
      <xdr:rowOff>25400</xdr:rowOff>
    </xdr:from>
    <xdr:to>
      <xdr:col>4</xdr:col>
      <xdr:colOff>996950</xdr:colOff>
      <xdr:row>26</xdr:row>
      <xdr:rowOff>241300</xdr:rowOff>
    </xdr:to>
    <xdr:sp macro="modUI.UI_CalculateQuotation" textlink="">
      <xdr:nvSpPr>
        <xdr:cNvPr id="38" name="btnQuoteCalc">
          <a:extLst>
            <a:ext uri="{FF2B5EF4-FFF2-40B4-BE49-F238E27FC236}">
              <a16:creationId xmlns:a16="http://schemas.microsoft.com/office/drawing/2014/main" id="{529B84D3-D598-B63E-EB22-7CAB06AF1B31}"/>
            </a:ext>
          </a:extLst>
        </xdr:cNvPr>
        <xdr:cNvSpPr/>
      </xdr:nvSpPr>
      <xdr:spPr>
        <a:xfrm>
          <a:off x="4908550" y="6527800"/>
          <a:ext cx="2273300" cy="4826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5</xdr:col>
      <xdr:colOff>25400</xdr:colOff>
      <xdr:row>25</xdr:row>
      <xdr:rowOff>25400</xdr:rowOff>
    </xdr:from>
    <xdr:to>
      <xdr:col>6</xdr:col>
      <xdr:colOff>1136650</xdr:colOff>
      <xdr:row>26</xdr:row>
      <xdr:rowOff>241300</xdr:rowOff>
    </xdr:to>
    <xdr:sp macro="modUI.UI_SaveDraft" textlink="">
      <xdr:nvSpPr>
        <xdr:cNvPr id="39" name="btnQuoteSave">
          <a:extLst>
            <a:ext uri="{FF2B5EF4-FFF2-40B4-BE49-F238E27FC236}">
              <a16:creationId xmlns:a16="http://schemas.microsoft.com/office/drawing/2014/main" id="{533BABC6-B901-59D9-7EEE-82C47A6E9F74}"/>
            </a:ext>
          </a:extLst>
        </xdr:cNvPr>
        <xdr:cNvSpPr/>
      </xdr:nvSpPr>
      <xdr:spPr>
        <a:xfrm>
          <a:off x="7232650" y="6527800"/>
          <a:ext cx="2133600" cy="482600"/>
        </a:xfrm>
        <a:prstGeom prst="roundRect">
          <a:avLst/>
        </a:prstGeom>
        <a:solidFill>
          <a:srgbClr val="1013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7</xdr:col>
      <xdr:colOff>25400</xdr:colOff>
      <xdr:row>25</xdr:row>
      <xdr:rowOff>25400</xdr:rowOff>
    </xdr:from>
    <xdr:to>
      <xdr:col>8</xdr:col>
      <xdr:colOff>857250</xdr:colOff>
      <xdr:row>26</xdr:row>
      <xdr:rowOff>241300</xdr:rowOff>
    </xdr:to>
    <xdr:sp macro="modUI.UI_ResetDraft" textlink="">
      <xdr:nvSpPr>
        <xdr:cNvPr id="40" name="btnQuoteReset">
          <a:extLst>
            <a:ext uri="{FF2B5EF4-FFF2-40B4-BE49-F238E27FC236}">
              <a16:creationId xmlns:a16="http://schemas.microsoft.com/office/drawing/2014/main" id="{B53A0951-FE46-1D44-3F92-D4E5C726CD17}"/>
            </a:ext>
          </a:extLst>
        </xdr:cNvPr>
        <xdr:cNvSpPr/>
      </xdr:nvSpPr>
      <xdr:spPr>
        <a:xfrm>
          <a:off x="9417050" y="6527800"/>
          <a:ext cx="2133600" cy="482600"/>
        </a:xfrm>
        <a:prstGeom prst="roundRect">
          <a:avLst/>
        </a:prstGeom>
        <a:solidFill>
          <a:srgbClr val="8C50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RESET DRAFT</a:t>
          </a:r>
        </a:p>
      </xdr:txBody>
    </xdr:sp>
    <xdr:clientData/>
  </xdr:twoCellAnchor>
  <xdr:twoCellAnchor>
    <xdr:from>
      <xdr:col>3</xdr:col>
      <xdr:colOff>25400</xdr:colOff>
      <xdr:row>28</xdr:row>
      <xdr:rowOff>25400</xdr:rowOff>
    </xdr:from>
    <xdr:to>
      <xdr:col>4</xdr:col>
      <xdr:colOff>996950</xdr:colOff>
      <xdr:row>29</xdr:row>
      <xdr:rowOff>241300</xdr:rowOff>
    </xdr:to>
    <xdr:sp macro="modUI.UI_PreviewOffer" textlink="">
      <xdr:nvSpPr>
        <xdr:cNvPr id="41" name="btnQuotePreview">
          <a:extLst>
            <a:ext uri="{FF2B5EF4-FFF2-40B4-BE49-F238E27FC236}">
              <a16:creationId xmlns:a16="http://schemas.microsoft.com/office/drawing/2014/main" id="{ADED7D9C-3382-76EC-4A3A-C84684959EB1}"/>
            </a:ext>
          </a:extLst>
        </xdr:cNvPr>
        <xdr:cNvSpPr/>
      </xdr:nvSpPr>
      <xdr:spPr>
        <a:xfrm>
          <a:off x="4908550" y="7327900"/>
          <a:ext cx="2273300" cy="482600"/>
        </a:xfrm>
        <a:prstGeom prst="roundRect">
          <a:avLst/>
        </a:prstGeom>
        <a:solidFill>
          <a:srgbClr val="4664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5</xdr:col>
      <xdr:colOff>25400</xdr:colOff>
      <xdr:row>28</xdr:row>
      <xdr:rowOff>25400</xdr:rowOff>
    </xdr:from>
    <xdr:to>
      <xdr:col>6</xdr:col>
      <xdr:colOff>1136650</xdr:colOff>
      <xdr:row>29</xdr:row>
      <xdr:rowOff>241300</xdr:rowOff>
    </xdr:to>
    <xdr:sp macro="modUI.UI_PreviewSynopsis" textlink="">
      <xdr:nvSpPr>
        <xdr:cNvPr id="42" name="btnQuoteSynopsis">
          <a:extLst>
            <a:ext uri="{FF2B5EF4-FFF2-40B4-BE49-F238E27FC236}">
              <a16:creationId xmlns:a16="http://schemas.microsoft.com/office/drawing/2014/main" id="{F1AA738C-A1BE-4225-D1B2-063EF30CAF75}"/>
            </a:ext>
          </a:extLst>
        </xdr:cNvPr>
        <xdr:cNvSpPr/>
      </xdr:nvSpPr>
      <xdr:spPr>
        <a:xfrm>
          <a:off x="7232650" y="7327900"/>
          <a:ext cx="2133600" cy="4826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SYNOPSIS</a:t>
          </a:r>
        </a:p>
      </xdr:txBody>
    </xdr:sp>
    <xdr:clientData/>
  </xdr:twoCellAnchor>
  <xdr:twoCellAnchor>
    <xdr:from>
      <xdr:col>7</xdr:col>
      <xdr:colOff>25400</xdr:colOff>
      <xdr:row>28</xdr:row>
      <xdr:rowOff>25400</xdr:rowOff>
    </xdr:from>
    <xdr:to>
      <xdr:col>8</xdr:col>
      <xdr:colOff>857250</xdr:colOff>
      <xdr:row>29</xdr:row>
      <xdr:rowOff>241300</xdr:rowOff>
    </xdr:to>
    <xdr:sp macro="modUI.UI_CustomSize" textlink="">
      <xdr:nvSpPr>
        <xdr:cNvPr id="43" name="btnQuoteCustomSize">
          <a:extLst>
            <a:ext uri="{FF2B5EF4-FFF2-40B4-BE49-F238E27FC236}">
              <a16:creationId xmlns:a16="http://schemas.microsoft.com/office/drawing/2014/main" id="{61BBFC5C-3094-A4A5-5D17-0FA7DEAD5C37}"/>
            </a:ext>
          </a:extLst>
        </xdr:cNvPr>
        <xdr:cNvSpPr/>
      </xdr:nvSpPr>
      <xdr:spPr>
        <a:xfrm>
          <a:off x="9417050" y="7327900"/>
          <a:ext cx="2133600" cy="482600"/>
        </a:xfrm>
        <a:prstGeom prst="roundRect">
          <a:avLst/>
        </a:prstGeom>
        <a:solidFill>
          <a:srgbClr val="A0781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CUSTOM PIPE SIZE</a:t>
          </a:r>
        </a:p>
      </xdr:txBody>
    </xdr:sp>
    <xdr:clientData/>
  </xdr:twoCellAnchor>
  <xdr:twoCellAnchor>
    <xdr:from>
      <xdr:col>3</xdr:col>
      <xdr:colOff>25400</xdr:colOff>
      <xdr:row>31</xdr:row>
      <xdr:rowOff>25400</xdr:rowOff>
    </xdr:from>
    <xdr:to>
      <xdr:col>4</xdr:col>
      <xdr:colOff>996950</xdr:colOff>
      <xdr:row>32</xdr:row>
      <xdr:rowOff>241300</xdr:rowOff>
    </xdr:to>
    <xdr:sp macro="modUI.UI_ExportPDF" textlink="">
      <xdr:nvSpPr>
        <xdr:cNvPr id="44" name="btnQuotePDF">
          <a:extLst>
            <a:ext uri="{FF2B5EF4-FFF2-40B4-BE49-F238E27FC236}">
              <a16:creationId xmlns:a16="http://schemas.microsoft.com/office/drawing/2014/main" id="{F90FD174-F55B-1F92-CB8A-7092101B2AE5}"/>
            </a:ext>
          </a:extLst>
        </xdr:cNvPr>
        <xdr:cNvSpPr/>
      </xdr:nvSpPr>
      <xdr:spPr>
        <a:xfrm>
          <a:off x="4908550" y="8128000"/>
          <a:ext cx="2273300" cy="482600"/>
        </a:xfrm>
        <a:prstGeom prst="roundRect">
          <a:avLst/>
        </a:prstGeom>
        <a:solidFill>
          <a:srgbClr val="A02D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5</xdr:col>
      <xdr:colOff>25400</xdr:colOff>
      <xdr:row>31</xdr:row>
      <xdr:rowOff>25400</xdr:rowOff>
    </xdr:from>
    <xdr:to>
      <xdr:col>6</xdr:col>
      <xdr:colOff>1136650</xdr:colOff>
      <xdr:row>32</xdr:row>
      <xdr:rowOff>241300</xdr:rowOff>
    </xdr:to>
    <xdr:sp macro="modUI.UI_ExportCustomerExcel" textlink="">
      <xdr:nvSpPr>
        <xdr:cNvPr id="45" name="btnQuoteExcel">
          <a:extLst>
            <a:ext uri="{FF2B5EF4-FFF2-40B4-BE49-F238E27FC236}">
              <a16:creationId xmlns:a16="http://schemas.microsoft.com/office/drawing/2014/main" id="{12540ACD-AB56-9706-FE45-812AC0A1A2C7}"/>
            </a:ext>
          </a:extLst>
        </xdr:cNvPr>
        <xdr:cNvSpPr/>
      </xdr:nvSpPr>
      <xdr:spPr>
        <a:xfrm>
          <a:off x="7232650" y="8128000"/>
          <a:ext cx="2133600" cy="482600"/>
        </a:xfrm>
        <a:prstGeom prst="roundRect">
          <a:avLst/>
        </a:prstGeom>
        <a:solidFill>
          <a:srgbClr val="14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EXCEL</a:t>
          </a:r>
        </a:p>
      </xdr:txBody>
    </xdr:sp>
    <xdr:clientData/>
  </xdr:twoCellAnchor>
  <xdr:twoCellAnchor>
    <xdr:from>
      <xdr:col>7</xdr:col>
      <xdr:colOff>25400</xdr:colOff>
      <xdr:row>31</xdr:row>
      <xdr:rowOff>25400</xdr:rowOff>
    </xdr:from>
    <xdr:to>
      <xdr:col>8</xdr:col>
      <xdr:colOff>857250</xdr:colOff>
      <xdr:row>32</xdr:row>
      <xdr:rowOff>241300</xdr:rowOff>
    </xdr:to>
    <xdr:sp macro="modUI.UI_BackToHome" textlink="">
      <xdr:nvSpPr>
        <xdr:cNvPr id="46" name="btnQuoteHome">
          <a:extLst>
            <a:ext uri="{FF2B5EF4-FFF2-40B4-BE49-F238E27FC236}">
              <a16:creationId xmlns:a16="http://schemas.microsoft.com/office/drawing/2014/main" id="{223BE1D6-896A-07D3-1F0F-DA96BF7267BF}"/>
            </a:ext>
          </a:extLst>
        </xdr:cNvPr>
        <xdr:cNvSpPr/>
      </xdr:nvSpPr>
      <xdr:spPr>
        <a:xfrm>
          <a:off x="9417050" y="8128000"/>
          <a:ext cx="2133600" cy="4826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&lt;- BACK TO 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16</xdr:col>
      <xdr:colOff>0</xdr:colOff>
      <xdr:row>3</xdr:row>
      <xdr:rowOff>76200</xdr:rowOff>
    </xdr:to>
    <xdr:sp macro="modUI.UI_ReturnToQuote" textlink="">
      <xdr:nvSpPr>
        <xdr:cNvPr id="7" name="btnSynopsisReturn">
          <a:extLst>
            <a:ext uri="{FF2B5EF4-FFF2-40B4-BE49-F238E27FC236}">
              <a16:creationId xmlns:a16="http://schemas.microsoft.com/office/drawing/2014/main" id="{4BE005D0-CAC1-01CA-5B9C-AEDED43CBF8B}"/>
            </a:ext>
          </a:extLst>
        </xdr:cNvPr>
        <xdr:cNvSpPr/>
      </xdr:nvSpPr>
      <xdr:spPr>
        <a:xfrm>
          <a:off x="12388850" y="469900"/>
          <a:ext cx="2863850" cy="279400"/>
        </a:xfrm>
        <a:prstGeom prst="roundRect">
          <a:avLst/>
        </a:prstGeom>
        <a:solidFill>
          <a:srgbClr val="2060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1">
              <a:solidFill>
                <a:srgbClr val="FFFFFF"/>
              </a:solidFill>
            </a:rPr>
            <a:t>â† BACK TO QUOTE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4" totalsRowShown="0" headerRowDxfId="177" dataDxfId="176">
  <autoFilter ref="A3:X4" xr:uid="{00000000-0009-0000-0100-000001000000}"/>
  <tableColumns count="24">
    <tableColumn id="1" xr3:uid="{00000000-0010-0000-0000-000001000000}" name="LineID" dataDxfId="175"/>
    <tableColumn id="2" xr3:uid="{00000000-0010-0000-0000-000002000000}" name="QuoteID" dataDxfId="174"/>
    <tableColumn id="3" xr3:uid="{00000000-0010-0000-0000-000003000000}" name="ProductID" dataDxfId="173"/>
    <tableColumn id="4" xr3:uid="{00000000-0010-0000-0000-000004000000}" name="Family" dataDxfId="172"/>
    <tableColumn id="5" xr3:uid="{00000000-0010-0000-0000-000005000000}" name="Basis" dataDxfId="171"/>
    <tableColumn id="6" xr3:uid="{00000000-0010-0000-0000-000006000000}" name="SizeMM" dataDxfId="170"/>
    <tableColumn id="7" xr3:uid="{00000000-0010-0000-0000-000007000000}" name="ThicknessMM" dataDxfId="169"/>
    <tableColumn id="8" xr3:uid="{00000000-0010-0000-0000-000008000000}" name="GradeID" dataDxfId="168"/>
    <tableColumn id="9" xr3:uid="{00000000-0010-0000-0000-000009000000}" name="CoatingExternalID" dataDxfId="167"/>
    <tableColumn id="10" xr3:uid="{00000000-0010-0000-0000-00000A000000}" name="CoatingInternalID" dataDxfId="166"/>
    <tableColumn id="11" xr3:uid="{00000000-0010-0000-0000-00000B000000}" name="Quantity" dataDxfId="165"/>
    <tableColumn id="12" xr3:uid="{00000000-0010-0000-0000-00000C000000}" name="QuantityUnit" dataDxfId="164"/>
    <tableColumn id="13" xr3:uid="{00000000-0010-0000-0000-00000D000000}" name="PipeLengthM" dataDxfId="163"/>
    <tableColumn id="14" xr3:uid="{00000000-0010-0000-0000-00000E000000}" name="CalculatedODMM" dataDxfId="162"/>
    <tableColumn id="15" xr3:uid="{00000000-0010-0000-0000-00000F000000}" name="CalculatedIDMM" dataDxfId="161"/>
    <tableColumn id="16" xr3:uid="{00000000-0010-0000-0000-000010000000}" name="MassKgPerM" dataDxfId="160"/>
    <tableColumn id="17" xr3:uid="{00000000-0010-0000-0000-000011000000}" name="Metres" dataDxfId="159"/>
    <tableColumn id="18" xr3:uid="{00000000-0010-0000-0000-000012000000}" name="PipeCount" dataDxfId="158"/>
    <tableColumn id="19" xr3:uid="{00000000-0010-0000-0000-000013000000}" name="WeightMT" dataDxfId="157"/>
    <tableColumn id="20" xr3:uid="{00000000-0010-0000-0000-000014000000}" name="UnitPrice" dataDxfId="156"/>
    <tableColumn id="21" xr3:uid="{00000000-0010-0000-0000-000015000000}" name="PriceUnit" dataDxfId="155"/>
    <tableColumn id="22" xr3:uid="{00000000-0010-0000-0000-000016000000}" name="LineTotal" dataDxfId="154"/>
    <tableColumn id="23" xr3:uid="{00000000-0010-0000-0000-000017000000}" name="PlantID" dataDxfId="153"/>
    <tableColumn id="24" xr3:uid="{00000000-0010-0000-0000-000018000000}" name="Status" dataDxfId="1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68" dataDxfId="67">
  <autoFilter ref="A17:I22" xr:uid="{00000000-0009-0000-0100-000002000000}"/>
  <tableColumns count="9">
    <tableColumn id="1" xr3:uid="{00000000-0010-0000-0100-000001000000}" name="ProductID" dataDxfId="77"/>
    <tableColumn id="2" xr3:uid="{00000000-0010-0000-0100-000002000000}" name="ProductName" dataDxfId="76"/>
    <tableColumn id="3" xr3:uid="{00000000-0010-0000-0100-000003000000}" name="Family" dataDxfId="75"/>
    <tableColumn id="4" xr3:uid="{00000000-0010-0000-0100-000004000000}" name="TopCoatingRequired" dataDxfId="74"/>
    <tableColumn id="5" xr3:uid="{00000000-0010-0000-0100-000005000000}" name="BackCoatingOptional" dataDxfId="73"/>
    <tableColumn id="6" xr3:uid="{00000000-0010-0000-0100-000006000000}" name="PrimaryColor" dataDxfId="72"/>
    <tableColumn id="7" xr3:uid="{00000000-0010-0000-0100-000007000000}" name="SecondaryColor" dataDxfId="71"/>
    <tableColumn id="8" xr3:uid="{00000000-0010-0000-0100-000008000000}" name="DefaultStandard" dataDxfId="70"/>
    <tableColumn id="9" xr3:uid="{00000000-0010-0000-0100-000009000000}" name="Active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59" dataDxfId="58">
  <autoFilter ref="A24:G49" xr:uid="{00000000-0009-0000-0100-000003000000}"/>
  <tableColumns count="7">
    <tableColumn id="1" xr3:uid="{00000000-0010-0000-0200-000001000000}" name="SizeID" dataDxfId="66"/>
    <tableColumn id="2" xr3:uid="{00000000-0010-0000-0200-000002000000}" name="Family" dataDxfId="65"/>
    <tableColumn id="3" xr3:uid="{00000000-0010-0000-0200-000003000000}" name="Basis" dataDxfId="64"/>
    <tableColumn id="4" xr3:uid="{00000000-0010-0000-0200-000004000000}" name="SizeMM" dataDxfId="63"/>
    <tableColumn id="5" xr3:uid="{00000000-0010-0000-0200-000005000000}" name="Active" dataDxfId="62"/>
    <tableColumn id="6" xr3:uid="{00000000-0010-0000-0200-000006000000}" name="Pending" dataDxfId="61"/>
    <tableColumn id="7" xr3:uid="{00000000-0010-0000-0200-000007000000}" name="Notes" dataDxfId="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51" dataDxfId="50">
  <autoFilter ref="A53:F77" xr:uid="{00000000-0009-0000-0100-000004000000}"/>
  <tableColumns count="6">
    <tableColumn id="1" xr3:uid="{00000000-0010-0000-0300-000001000000}" name="ThicknessID" dataDxfId="57"/>
    <tableColumn id="2" xr3:uid="{00000000-0010-0000-0300-000002000000}" name="Family" dataDxfId="56"/>
    <tableColumn id="3" xr3:uid="{00000000-0010-0000-0300-000003000000}" name="ThicknessMM" dataDxfId="55"/>
    <tableColumn id="4" xr3:uid="{00000000-0010-0000-0300-000004000000}" name="MinMM" dataDxfId="54"/>
    <tableColumn id="5" xr3:uid="{00000000-0010-0000-0300-000005000000}" name="MaxMM" dataDxfId="53"/>
    <tableColumn id="6" xr3:uid="{00000000-0010-0000-0300-000006000000}" name="Active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45" dataDxfId="44">
  <autoFilter ref="A80:D112" xr:uid="{00000000-0009-0000-0100-000005000000}"/>
  <tableColumns count="4">
    <tableColumn id="1" xr3:uid="{00000000-0010-0000-0400-000001000000}" name="GradeID" dataDxfId="49"/>
    <tableColumn id="2" xr3:uid="{00000000-0010-0000-0400-000002000000}" name="Family" dataDxfId="48"/>
    <tableColumn id="3" xr3:uid="{00000000-0010-0000-0400-000003000000}" name="GradeName" dataDxfId="47"/>
    <tableColumn id="4" xr3:uid="{00000000-0010-0000-0400-000004000000}" name="Active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37" dataDxfId="36">
  <autoFilter ref="A115:F123" xr:uid="{00000000-0009-0000-0100-000006000000}"/>
  <tableColumns count="6">
    <tableColumn id="1" xr3:uid="{00000000-0010-0000-0500-000001000000}" name="CoatingID" dataDxfId="43"/>
    <tableColumn id="2" xr3:uid="{00000000-0010-0000-0500-000002000000}" name="CoatingName" dataDxfId="42"/>
    <tableColumn id="3" xr3:uid="{00000000-0010-0000-0500-000003000000}" name="Thickness" dataDxfId="41"/>
    <tableColumn id="4" xr3:uid="{00000000-0010-0000-0500-000004000000}" name="RateRsPerM2" dataDxfId="40"/>
    <tableColumn id="5" xr3:uid="{00000000-0010-0000-0500-000005000000}" name="RateConfirmed" dataDxfId="39"/>
    <tableColumn id="6" xr3:uid="{00000000-0010-0000-0500-000006000000}" name="Active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29" dataDxfId="28">
  <autoFilter ref="A125:F131" xr:uid="{00000000-0009-0000-0100-000007000000}"/>
  <tableColumns count="6">
    <tableColumn id="1" xr3:uid="{00000000-0010-0000-0600-000001000000}" name="CoatingID" dataDxfId="35"/>
    <tableColumn id="2" xr3:uid="{00000000-0010-0000-0600-000002000000}" name="CoatingName" dataDxfId="34"/>
    <tableColumn id="3" xr3:uid="{00000000-0010-0000-0600-000003000000}" name="Thickness" dataDxfId="33"/>
    <tableColumn id="4" xr3:uid="{00000000-0010-0000-0600-000004000000}" name="RateRsPerM2" dataDxfId="32"/>
    <tableColumn id="5" xr3:uid="{00000000-0010-0000-0600-000005000000}" name="RateConfirmed" dataDxfId="31"/>
    <tableColumn id="6" xr3:uid="{00000000-0010-0000-0600-000006000000}" name="Active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24" dataDxfId="23">
  <autoFilter ref="A134:C138" xr:uid="{00000000-0009-0000-0100-000008000000}"/>
  <tableColumns count="3">
    <tableColumn id="1" xr3:uid="{00000000-0010-0000-0700-000001000000}" name="PaymentTermID" dataDxfId="27"/>
    <tableColumn id="2" xr3:uid="{00000000-0010-0000-0700-000002000000}" name="PaymentTerm" dataDxfId="26"/>
    <tableColumn id="3" xr3:uid="{00000000-0010-0000-0700-000003000000}" name="Active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16" dataDxfId="15">
  <autoFilter ref="A142:F146" xr:uid="{00000000-0009-0000-0100-000009000000}"/>
  <tableColumns count="6">
    <tableColumn id="1" xr3:uid="{00000000-0010-0000-0800-000001000000}" name="StackingID" dataDxfId="22"/>
    <tableColumn id="2" xr3:uid="{00000000-0010-0000-0800-000002000000}" name="MinOD_MM" dataDxfId="21"/>
    <tableColumn id="3" xr3:uid="{00000000-0010-0000-0800-000003000000}" name="MaxOD_MM" dataDxfId="20"/>
    <tableColumn id="4" xr3:uid="{00000000-0010-0000-0800-000004000000}" name="PipesPerTrailer" dataDxfId="19"/>
    <tableColumn id="5" xr3:uid="{00000000-0010-0000-0800-000005000000}" name="ODCText" dataDxfId="18"/>
    <tableColumn id="6" xr3:uid="{00000000-0010-0000-0800-000006000000}" name="Description" dataDxfId="1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10" dataDxfId="9">
  <autoFilter ref="A150:D156" xr:uid="{00000000-0009-0000-0100-00000A000000}"/>
  <tableColumns count="4">
    <tableColumn id="1" xr3:uid="{00000000-0010-0000-0900-000001000000}" name="SlabID" dataDxfId="14"/>
    <tableColumn id="2" xr3:uid="{00000000-0010-0000-0900-000002000000}" name="MinKM" dataDxfId="13"/>
    <tableColumn id="3" xr3:uid="{00000000-0010-0000-0900-000003000000}" name="MaxKM" dataDxfId="12"/>
    <tableColumn id="4" xr3:uid="{00000000-0010-0000-0900-000004000000}" name="TripRate" dataDxfId="11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1" dataDxfId="0">
  <autoFilter ref="A160:G164" xr:uid="{00000000-0009-0000-0100-00000B000000}"/>
  <tableColumns count="7">
    <tableColumn id="1" xr3:uid="{00000000-0010-0000-0A00-000001000000}" name="PriceID" dataDxfId="8"/>
    <tableColumn id="2" xr3:uid="{00000000-0010-0000-0A00-000002000000}" name="CompetitorID" dataDxfId="7"/>
    <tableColumn id="3" xr3:uid="{00000000-0010-0000-0A00-000003000000}" name="CompetitorName" dataDxfId="6"/>
    <tableColumn id="4" xr3:uid="{00000000-0010-0000-0A00-000004000000}" name="ProductID" dataDxfId="5"/>
    <tableColumn id="5" xr3:uid="{00000000-0010-0000-0A00-000005000000}" name="ExMillRsPerMT" dataDxfId="4"/>
    <tableColumn id="6" xr3:uid="{00000000-0010-0000-0A00-000006000000}" name="PriceDate" dataDxfId="3"/>
    <tableColumn id="7" xr3:uid="{00000000-0010-0000-0A00-000007000000}" name="Notes" dataDxfId="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4" totalsRowShown="0" headerRowDxfId="151" dataDxfId="150">
  <autoFilter ref="A3:G34" xr:uid="{00000000-0009-0000-0100-00000C000000}"/>
  <tableColumns count="7">
    <tableColumn id="1" xr3:uid="{00000000-0010-0000-0B00-000001000000}" name="SettingKey" dataDxfId="149"/>
    <tableColumn id="2" xr3:uid="{00000000-0010-0000-0B00-000002000000}" name="SettingValue" dataDxfId="148"/>
    <tableColumn id="3" xr3:uid="{00000000-0010-0000-0B00-000003000000}" name="DataType" dataDxfId="147"/>
    <tableColumn id="4" xr3:uid="{00000000-0010-0000-0B00-000004000000}" name="Description" dataDxfId="146"/>
    <tableColumn id="5" xr3:uid="{00000000-0010-0000-0B00-000005000000}" name="DefaultValue" dataDxfId="145"/>
    <tableColumn id="6" xr3:uid="{00000000-0010-0000-0B00-000006000000}" name="Editable" dataDxfId="144"/>
    <tableColumn id="7" xr3:uid="{00000000-0010-0000-0B00-000007000000}" name="Category" dataDxfId="1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 headerRowDxfId="142" dataDxfId="141">
  <autoFilter ref="A3:O5" xr:uid="{00000000-0009-0000-0100-00000D000000}"/>
  <tableColumns count="15">
    <tableColumn id="1" xr3:uid="{00000000-0010-0000-0C00-000001000000}" name="CustomerID" dataDxfId="140"/>
    <tableColumn id="2" xr3:uid="{00000000-0010-0000-0C00-000002000000}" name="CustomerName" dataDxfId="139"/>
    <tableColumn id="3" xr3:uid="{00000000-0010-0000-0C00-000003000000}" name="ContactPerson" dataDxfId="138"/>
    <tableColumn id="4" xr3:uid="{00000000-0010-0000-0C00-000004000000}" name="Email" dataDxfId="137"/>
    <tableColumn id="5" xr3:uid="{00000000-0010-0000-0C00-000005000000}" name="Phone" dataDxfId="136"/>
    <tableColumn id="6" xr3:uid="{00000000-0010-0000-0C00-000006000000}" name="Address" dataDxfId="135"/>
    <tableColumn id="7" xr3:uid="{00000000-0010-0000-0C00-000007000000}" name="City" dataDxfId="134"/>
    <tableColumn id="8" xr3:uid="{00000000-0010-0000-0C00-000008000000}" name="State" dataDxfId="133"/>
    <tableColumn id="9" xr3:uid="{00000000-0010-0000-0C00-000009000000}" name="Country" dataDxfId="132"/>
    <tableColumn id="10" xr3:uid="{00000000-0010-0000-0C00-00000A000000}" name="PIN" dataDxfId="131"/>
    <tableColumn id="11" xr3:uid="{00000000-0010-0000-0C00-00000B000000}" name="Latitude" dataDxfId="130"/>
    <tableColumn id="12" xr3:uid="{00000000-0010-0000-0C00-00000C000000}" name="Longitude" dataDxfId="129"/>
    <tableColumn id="13" xr3:uid="{00000000-0010-0000-0C00-00000D000000}" name="Active" dataDxfId="128"/>
    <tableColumn id="14" xr3:uid="{00000000-0010-0000-0C00-00000E000000}" name="CreatedDate" dataDxfId="127"/>
    <tableColumn id="15" xr3:uid="{00000000-0010-0000-0C00-00000F000000}" name="UpdatedDate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0" totalsRowShown="0" headerRowDxfId="125" dataDxfId="124">
  <autoFilter ref="A3:M10" xr:uid="{00000000-0009-0000-0100-00000E000000}"/>
  <tableColumns count="13">
    <tableColumn id="1" xr3:uid="{00000000-0010-0000-0D00-000001000000}" name="PlantID" dataDxfId="123"/>
    <tableColumn id="2" xr3:uid="{00000000-0010-0000-0D00-000002000000}" name="PlantName" dataDxfId="122"/>
    <tableColumn id="3" xr3:uid="{00000000-0010-0000-0D00-000003000000}" name="PlantType" dataDxfId="121"/>
    <tableColumn id="4" xr3:uid="{00000000-0010-0000-0D00-000004000000}" name="Company" dataDxfId="120"/>
    <tableColumn id="5" xr3:uid="{00000000-0010-0000-0D00-000005000000}" name="Address" dataDxfId="119"/>
    <tableColumn id="6" xr3:uid="{00000000-0010-0000-0D00-000006000000}" name="City" dataDxfId="118"/>
    <tableColumn id="7" xr3:uid="{00000000-0010-0000-0D00-000007000000}" name="State" dataDxfId="117"/>
    <tableColumn id="8" xr3:uid="{00000000-0010-0000-0D00-000008000000}" name="Country" dataDxfId="116"/>
    <tableColumn id="9" xr3:uid="{00000000-0010-0000-0D00-000009000000}" name="PIN" dataDxfId="115"/>
    <tableColumn id="10" xr3:uid="{00000000-0010-0000-0D00-00000A000000}" name="Latitude" dataDxfId="114"/>
    <tableColumn id="11" xr3:uid="{00000000-0010-0000-0D00-00000B000000}" name="Longitude" dataDxfId="113"/>
    <tableColumn id="12" xr3:uid="{00000000-0010-0000-0D00-00000C000000}" name="Active" dataDxfId="112"/>
    <tableColumn id="13" xr3:uid="{00000000-0010-0000-0D00-00000D000000}" name="Notes" dataDxfId="1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14:E20" totalsRowShown="0" headerRowDxfId="110" dataDxfId="109">
  <autoFilter ref="A14:E20" xr:uid="{00000000-0009-0000-0100-00000F000000}"/>
  <tableColumns count="5">
    <tableColumn id="1" xr3:uid="{00000000-0010-0000-0E00-000001000000}" name="PlantProductID" dataDxfId="108"/>
    <tableColumn id="2" xr3:uid="{00000000-0010-0000-0E00-000002000000}" name="PlantID" dataDxfId="107"/>
    <tableColumn id="3" xr3:uid="{00000000-0010-0000-0E00-000003000000}" name="ProductID" dataDxfId="106"/>
    <tableColumn id="4" xr3:uid="{00000000-0010-0000-0E00-000004000000}" name="Family" dataDxfId="105"/>
    <tableColumn id="5" xr3:uid="{00000000-0010-0000-0E00-000005000000}" name="Active" dataDxfId="104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11" totalsRowShown="0" headerRowDxfId="103" dataDxfId="102">
  <autoFilter ref="A3:L11" xr:uid="{00000000-0009-0000-0100-000010000000}"/>
  <tableColumns count="12">
    <tableColumn id="1" xr3:uid="{00000000-0010-0000-0F00-000001000000}" name="CacheKey" dataDxfId="101"/>
    <tableColumn id="2" xr3:uid="{00000000-0010-0000-0F00-000002000000}" name="Profile" dataDxfId="100"/>
    <tableColumn id="3" xr3:uid="{00000000-0010-0000-0F00-000003000000}" name="PlantID" dataDxfId="99"/>
    <tableColumn id="4" xr3:uid="{00000000-0010-0000-0F00-000004000000}" name="CustomerPIN" dataDxfId="98"/>
    <tableColumn id="5" xr3:uid="{00000000-0010-0000-0F00-000005000000}" name="CustomerLatitude" dataDxfId="97"/>
    <tableColumn id="6" xr3:uid="{00000000-0010-0000-0F00-000006000000}" name="CustomerLongitude" dataDxfId="96"/>
    <tableColumn id="7" xr3:uid="{00000000-0010-0000-0F00-000007000000}" name="DistanceKM" dataDxfId="95"/>
    <tableColumn id="8" xr3:uid="{00000000-0010-0000-0F00-000008000000}" name="DurationMinutes" dataDxfId="94"/>
    <tableColumn id="9" xr3:uid="{00000000-0010-0000-0F00-000009000000}" name="Source" dataDxfId="93"/>
    <tableColumn id="10" xr3:uid="{00000000-0010-0000-0F00-00000A000000}" name="CalculatedDate" dataDxfId="92"/>
    <tableColumn id="11" xr3:uid="{00000000-0010-0000-0F00-00000B000000}" name="ValidUntil" dataDxfId="91"/>
    <tableColumn id="12" xr3:uid="{00000000-0010-0000-0F00-00000C000000}" name="Status" dataDxfId="9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74" totalsRowShown="0" headerRowDxfId="89" dataDxfId="88">
  <autoFilter ref="A3:J174" xr:uid="{00000000-0009-0000-0100-000011000000}"/>
  <tableColumns count="10">
    <tableColumn id="1" xr3:uid="{00000000-0010-0000-1000-000001000000}" name="LogID" dataDxfId="87"/>
    <tableColumn id="2" xr3:uid="{00000000-0010-0000-1000-000002000000}" name="QuoteID" dataDxfId="86"/>
    <tableColumn id="3" xr3:uid="{00000000-0010-0000-1000-000003000000}" name="Timestamp" dataDxfId="85"/>
    <tableColumn id="4" xr3:uid="{00000000-0010-0000-1000-000004000000}" name="User" dataDxfId="84"/>
    <tableColumn id="5" xr3:uid="{00000000-0010-0000-1000-000005000000}" name="Action" dataDxfId="83"/>
    <tableColumn id="6" xr3:uid="{00000000-0010-0000-1000-000006000000}" name="OldValue" dataDxfId="82"/>
    <tableColumn id="7" xr3:uid="{00000000-0010-0000-1000-000007000000}" name="NewValue" dataDxfId="81"/>
    <tableColumn id="8" xr3:uid="{00000000-0010-0000-1000-000008000000}" name="SheetName" dataDxfId="80"/>
    <tableColumn id="9" xr3:uid="{00000000-0010-0000-1000-000009000000}" name="Status" dataDxfId="79"/>
    <tableColumn id="10" xr3:uid="{00000000-0010-0000-1000-00000A000000}" name="Notes" dataDxfId="7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H25"/>
  <sheetViews>
    <sheetView workbookViewId="0"/>
  </sheetViews>
  <sheetFormatPr defaultRowHeight="14.5" x14ac:dyDescent="0.35"/>
  <cols>
    <col min="1" max="16384" width="8.7265625" style="1"/>
  </cols>
  <sheetData>
    <row r="1" spans="1:8" ht="18.5" customHeight="1" x14ac:dyDescent="0.45">
      <c r="A1" s="5" t="s">
        <v>8</v>
      </c>
    </row>
    <row r="3" spans="1:8" x14ac:dyDescent="0.35">
      <c r="A3" s="6" t="s">
        <v>9</v>
      </c>
      <c r="B3" s="6" t="s">
        <v>10</v>
      </c>
      <c r="C3" s="6" t="s">
        <v>11</v>
      </c>
      <c r="D3" s="6" t="s">
        <v>12</v>
      </c>
      <c r="E3" s="6" t="s">
        <v>13</v>
      </c>
      <c r="F3" s="6" t="s">
        <v>14</v>
      </c>
    </row>
    <row r="4" spans="1:8" x14ac:dyDescent="0.35">
      <c r="A4" s="1" t="s">
        <v>15</v>
      </c>
      <c r="B4" s="1" t="s">
        <v>16</v>
      </c>
      <c r="C4" s="1">
        <v>782</v>
      </c>
      <c r="D4" s="1">
        <v>153</v>
      </c>
      <c r="E4" s="7">
        <v>7483</v>
      </c>
      <c r="F4" s="7">
        <v>88053</v>
      </c>
    </row>
    <row r="5" spans="1:8" x14ac:dyDescent="0.35">
      <c r="A5" s="1" t="s">
        <v>17</v>
      </c>
      <c r="B5" s="1" t="s">
        <v>18</v>
      </c>
      <c r="C5" s="1">
        <v>1821</v>
      </c>
      <c r="D5" s="1">
        <v>153</v>
      </c>
      <c r="E5" s="7">
        <v>17292</v>
      </c>
      <c r="F5" s="7">
        <v>97862</v>
      </c>
    </row>
    <row r="12" spans="1:8" ht="15.5" customHeight="1" x14ac:dyDescent="0.35">
      <c r="A12" s="8" t="s">
        <v>19</v>
      </c>
    </row>
    <row r="13" spans="1:8" x14ac:dyDescent="0.35">
      <c r="A13" s="11" t="s">
        <v>20</v>
      </c>
      <c r="B13" s="11" t="s">
        <v>21</v>
      </c>
      <c r="C13" s="11" t="s">
        <v>22</v>
      </c>
      <c r="D13" s="11" t="s">
        <v>13</v>
      </c>
      <c r="E13" s="11" t="s">
        <v>23</v>
      </c>
      <c r="F13" s="11" t="s">
        <v>24</v>
      </c>
      <c r="G13" s="11" t="s">
        <v>25</v>
      </c>
      <c r="H13" s="11" t="s">
        <v>26</v>
      </c>
    </row>
    <row r="14" spans="1:8" x14ac:dyDescent="0.35">
      <c r="A14" s="12" t="s">
        <v>27</v>
      </c>
      <c r="B14" s="12">
        <v>403</v>
      </c>
      <c r="C14" s="12">
        <v>79500</v>
      </c>
      <c r="D14" s="12">
        <v>4199</v>
      </c>
      <c r="E14" s="12">
        <v>83699</v>
      </c>
      <c r="F14" s="12">
        <v>-5018</v>
      </c>
      <c r="G14" s="12" t="s">
        <v>28</v>
      </c>
      <c r="H14" s="12" t="s">
        <v>29</v>
      </c>
    </row>
    <row r="15" spans="1:8" x14ac:dyDescent="0.35">
      <c r="A15" t="s">
        <v>30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31</v>
      </c>
      <c r="H15"/>
    </row>
    <row r="16" spans="1:8" x14ac:dyDescent="0.35">
      <c r="A16" t="s">
        <v>32</v>
      </c>
      <c r="B16">
        <v>1973</v>
      </c>
      <c r="C16" t="s">
        <v>33</v>
      </c>
      <c r="D16">
        <v>0</v>
      </c>
      <c r="E16">
        <v>0</v>
      </c>
      <c r="F16" t="s">
        <v>33</v>
      </c>
      <c r="G16" t="s">
        <v>34</v>
      </c>
      <c r="H16"/>
    </row>
    <row r="17" spans="1:8" x14ac:dyDescent="0.35">
      <c r="A17" t="s">
        <v>35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31</v>
      </c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 s="10" t="s">
        <v>36</v>
      </c>
      <c r="B19" s="10">
        <v>88717</v>
      </c>
      <c r="C19" s="10"/>
      <c r="D19" s="10" t="s">
        <v>37</v>
      </c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</sheetData>
  <sheetProtection formatCells="0" formatColumns="0" formatRows="0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35"/>
  <sheetViews>
    <sheetView showGridLines="0" tabSelected="1" workbookViewId="0">
      <pane ySplit="8" topLeftCell="A16" activePane="bottomLeft" state="frozen"/>
      <selection pane="bottomLeft" activeCell="I16" sqref="I16"/>
    </sheetView>
  </sheetViews>
  <sheetFormatPr defaultRowHeight="14.5" x14ac:dyDescent="0.35"/>
  <cols>
    <col min="1" max="1" width="4.6328125" customWidth="1"/>
    <col min="2" max="6" width="22.6328125" customWidth="1"/>
    <col min="7" max="7" width="4.6328125" customWidth="1"/>
    <col min="8" max="8" width="8.7265625" customWidth="1"/>
  </cols>
  <sheetData>
    <row r="1" spans="1:7" ht="10" customHeight="1" x14ac:dyDescent="0.35">
      <c r="A1" s="103"/>
      <c r="B1" s="103"/>
      <c r="C1" s="103"/>
      <c r="D1" s="103"/>
      <c r="E1" s="103"/>
      <c r="F1" s="103"/>
      <c r="G1" s="103"/>
    </row>
    <row r="2" spans="1:7" ht="10" customHeight="1" x14ac:dyDescent="0.35">
      <c r="A2" s="103"/>
      <c r="B2" s="66" t="s">
        <v>948</v>
      </c>
      <c r="C2" s="104"/>
      <c r="D2" s="104"/>
      <c r="E2" s="104"/>
      <c r="F2" s="104"/>
      <c r="G2" s="103"/>
    </row>
    <row r="3" spans="1:7" ht="22" customHeight="1" x14ac:dyDescent="0.35">
      <c r="A3" s="103"/>
      <c r="B3" s="104"/>
      <c r="C3" s="104"/>
      <c r="D3" s="104"/>
      <c r="E3" s="104"/>
      <c r="F3" s="104"/>
      <c r="G3" s="103"/>
    </row>
    <row r="4" spans="1:7" ht="22" customHeight="1" x14ac:dyDescent="0.35">
      <c r="A4" s="103"/>
      <c r="B4" s="67" t="s">
        <v>957</v>
      </c>
      <c r="C4" s="104"/>
      <c r="D4" s="104"/>
      <c r="E4" s="104"/>
      <c r="F4" s="104"/>
      <c r="G4" s="103"/>
    </row>
    <row r="5" spans="1:7" ht="22" customHeight="1" x14ac:dyDescent="0.35">
      <c r="A5" s="103"/>
      <c r="B5" s="103"/>
      <c r="C5" s="103"/>
      <c r="D5" s="103"/>
      <c r="E5" s="103"/>
      <c r="F5" s="103"/>
      <c r="G5" s="103"/>
    </row>
    <row r="6" spans="1:7" ht="22" customHeight="1" x14ac:dyDescent="0.35">
      <c r="A6" s="103"/>
      <c r="B6" s="68" t="s">
        <v>958</v>
      </c>
      <c r="C6" s="68"/>
      <c r="D6" s="68"/>
      <c r="E6" s="68"/>
      <c r="F6" s="68"/>
      <c r="G6" s="103"/>
    </row>
    <row r="7" spans="1:7" ht="16" customHeight="1" x14ac:dyDescent="0.35">
      <c r="A7" s="103"/>
      <c r="B7" s="103"/>
      <c r="C7" s="103"/>
      <c r="D7" s="103"/>
      <c r="E7" s="103"/>
      <c r="F7" s="103"/>
      <c r="G7" s="103"/>
    </row>
    <row r="8" spans="1:7" ht="10" customHeight="1" x14ac:dyDescent="0.35">
      <c r="A8" s="103"/>
      <c r="B8" s="31" t="s">
        <v>881</v>
      </c>
      <c r="C8" s="71" t="s">
        <v>959</v>
      </c>
      <c r="D8" s="72"/>
      <c r="E8" s="31" t="s">
        <v>1</v>
      </c>
      <c r="F8" s="32" t="s">
        <v>960</v>
      </c>
      <c r="G8" s="103"/>
    </row>
    <row r="9" spans="1:7" ht="16" customHeight="1" x14ac:dyDescent="0.35">
      <c r="A9" s="103"/>
      <c r="B9" s="31"/>
      <c r="C9" s="31"/>
      <c r="D9" s="31"/>
      <c r="E9" s="31"/>
      <c r="F9" s="31"/>
      <c r="G9" s="103"/>
    </row>
    <row r="10" spans="1:7" ht="16" customHeight="1" x14ac:dyDescent="0.35">
      <c r="A10" s="103"/>
      <c r="B10" s="31" t="s">
        <v>882</v>
      </c>
      <c r="C10" s="73" t="s">
        <v>961</v>
      </c>
      <c r="D10" s="72"/>
      <c r="E10" s="31" t="s">
        <v>4</v>
      </c>
      <c r="F10" s="31" t="s">
        <v>5</v>
      </c>
      <c r="G10" s="103"/>
    </row>
    <row r="11" spans="1:7" ht="16" customHeight="1" x14ac:dyDescent="0.35">
      <c r="A11" s="103"/>
      <c r="B11" s="31"/>
      <c r="C11" s="31"/>
      <c r="D11" s="31"/>
      <c r="E11" s="31"/>
      <c r="F11" s="31"/>
      <c r="G11" s="103"/>
    </row>
    <row r="12" spans="1:7" ht="16" customHeight="1" x14ac:dyDescent="0.35">
      <c r="A12" s="103"/>
      <c r="B12" s="31"/>
      <c r="C12" s="31"/>
      <c r="D12" s="31"/>
      <c r="E12" s="31"/>
      <c r="F12" s="31"/>
      <c r="G12" s="103"/>
    </row>
    <row r="13" spans="1:7" ht="16" customHeight="1" x14ac:dyDescent="0.35">
      <c r="A13" s="103"/>
      <c r="B13" s="103"/>
      <c r="C13" s="103"/>
      <c r="D13" s="103"/>
      <c r="E13" s="103"/>
      <c r="F13" s="103"/>
      <c r="G13" s="103"/>
    </row>
    <row r="14" spans="1:7" ht="12" customHeight="1" x14ac:dyDescent="0.35">
      <c r="A14" s="103"/>
      <c r="B14" s="70" t="s">
        <v>883</v>
      </c>
      <c r="C14" s="70"/>
      <c r="D14" s="70"/>
      <c r="E14" s="70"/>
      <c r="F14" s="70"/>
      <c r="G14" s="103"/>
    </row>
    <row r="15" spans="1:7" ht="18" customHeight="1" x14ac:dyDescent="0.35">
      <c r="A15" s="103"/>
      <c r="B15" s="103"/>
      <c r="C15" s="103"/>
      <c r="D15" s="103"/>
      <c r="E15" s="103"/>
      <c r="F15" s="103"/>
      <c r="G15" s="103"/>
    </row>
    <row r="16" spans="1:7" ht="24" customHeight="1" x14ac:dyDescent="0.35">
      <c r="A16" s="103"/>
      <c r="B16" s="103"/>
      <c r="C16" s="103"/>
      <c r="D16" s="103"/>
      <c r="E16" s="103"/>
      <c r="F16" s="103"/>
      <c r="G16" s="103"/>
    </row>
    <row r="17" spans="1:7" ht="24" customHeight="1" x14ac:dyDescent="0.35">
      <c r="A17" s="103"/>
      <c r="B17" s="103"/>
      <c r="C17" s="103"/>
      <c r="D17" s="103"/>
      <c r="E17" s="103"/>
      <c r="F17" s="103"/>
      <c r="G17" s="103"/>
    </row>
    <row r="18" spans="1:7" ht="24" customHeight="1" x14ac:dyDescent="0.35">
      <c r="A18" s="103"/>
      <c r="B18" s="103"/>
      <c r="C18" s="103"/>
      <c r="D18" s="103"/>
      <c r="E18" s="103"/>
      <c r="F18" s="103"/>
      <c r="G18" s="103"/>
    </row>
    <row r="19" spans="1:7" ht="24" customHeight="1" x14ac:dyDescent="0.35">
      <c r="A19" s="103"/>
      <c r="B19" s="103"/>
      <c r="C19" s="103"/>
      <c r="D19" s="103"/>
      <c r="E19" s="103"/>
      <c r="F19" s="103"/>
      <c r="G19" s="103"/>
    </row>
    <row r="20" spans="1:7" ht="24" customHeight="1" x14ac:dyDescent="0.35">
      <c r="A20" s="103"/>
      <c r="B20" s="103"/>
      <c r="C20" s="103"/>
      <c r="D20" s="103"/>
      <c r="E20" s="103"/>
      <c r="F20" s="103"/>
      <c r="G20" s="103"/>
    </row>
    <row r="21" spans="1:7" ht="24" customHeight="1" x14ac:dyDescent="0.35">
      <c r="A21" s="103"/>
      <c r="B21" s="103"/>
      <c r="C21" s="103"/>
      <c r="D21" s="103"/>
      <c r="E21" s="103"/>
      <c r="F21" s="103"/>
      <c r="G21" s="103"/>
    </row>
    <row r="22" spans="1:7" ht="24" customHeight="1" x14ac:dyDescent="0.35">
      <c r="A22" s="103"/>
      <c r="B22" s="103"/>
      <c r="C22" s="103"/>
      <c r="D22" s="103"/>
      <c r="E22" s="103"/>
      <c r="F22" s="103"/>
      <c r="G22" s="103"/>
    </row>
    <row r="23" spans="1:7" ht="24" customHeight="1" x14ac:dyDescent="0.35">
      <c r="A23" s="103"/>
      <c r="B23" s="103"/>
      <c r="C23" s="103"/>
      <c r="D23" s="103"/>
      <c r="E23" s="103"/>
      <c r="F23" s="103"/>
      <c r="G23" s="103"/>
    </row>
    <row r="24" spans="1:7" ht="24" customHeight="1" x14ac:dyDescent="0.35">
      <c r="A24" s="103"/>
      <c r="B24" s="103"/>
      <c r="C24" s="103"/>
      <c r="D24" s="103"/>
      <c r="E24" s="103"/>
      <c r="F24" s="103"/>
      <c r="G24" s="103"/>
    </row>
    <row r="25" spans="1:7" ht="24" customHeight="1" x14ac:dyDescent="0.35">
      <c r="A25" s="103"/>
      <c r="B25" s="103"/>
      <c r="C25" s="103"/>
      <c r="D25" s="103"/>
      <c r="E25" s="103"/>
      <c r="F25" s="103"/>
      <c r="G25" s="103"/>
    </row>
    <row r="26" spans="1:7" ht="24" customHeight="1" x14ac:dyDescent="0.35">
      <c r="A26" s="103"/>
      <c r="B26" s="74" t="s">
        <v>884</v>
      </c>
      <c r="C26" s="74"/>
      <c r="D26" s="74"/>
      <c r="E26" s="74"/>
      <c r="F26" s="74"/>
      <c r="G26" s="103"/>
    </row>
    <row r="27" spans="1:7" ht="14" customHeight="1" x14ac:dyDescent="0.35">
      <c r="A27" s="103"/>
      <c r="B27" s="74"/>
      <c r="C27" s="74"/>
      <c r="D27" s="74"/>
      <c r="E27" s="74"/>
      <c r="F27" s="74"/>
      <c r="G27" s="103"/>
    </row>
    <row r="28" spans="1:7" ht="14" customHeight="1" x14ac:dyDescent="0.35">
      <c r="A28" s="103"/>
      <c r="B28" s="74"/>
      <c r="C28" s="74"/>
      <c r="D28" s="74"/>
      <c r="E28" s="74"/>
      <c r="F28" s="74"/>
      <c r="G28" s="103"/>
    </row>
    <row r="29" spans="1:7" ht="14" customHeight="1" x14ac:dyDescent="0.35">
      <c r="A29" s="103"/>
      <c r="B29" s="103"/>
      <c r="C29" s="103"/>
      <c r="D29" s="103"/>
      <c r="E29" s="103"/>
      <c r="F29" s="103"/>
      <c r="G29" s="103"/>
    </row>
    <row r="30" spans="1:7" ht="14" customHeight="1" x14ac:dyDescent="0.35">
      <c r="A30" s="103"/>
      <c r="B30" s="69" t="s">
        <v>962</v>
      </c>
      <c r="C30" s="69"/>
      <c r="D30" s="69"/>
      <c r="E30" s="69"/>
      <c r="F30" s="69"/>
      <c r="G30" s="103"/>
    </row>
    <row r="31" spans="1:7" x14ac:dyDescent="0.35">
      <c r="A31" s="103"/>
      <c r="B31" s="103"/>
      <c r="C31" s="103"/>
      <c r="D31" s="103"/>
      <c r="E31" s="103"/>
      <c r="F31" s="103"/>
      <c r="G31" s="103"/>
    </row>
    <row r="32" spans="1:7" x14ac:dyDescent="0.35">
      <c r="A32" s="103"/>
      <c r="B32" s="103"/>
      <c r="C32" s="103"/>
      <c r="D32" s="103"/>
      <c r="E32" s="103"/>
      <c r="F32" s="103"/>
      <c r="G32" s="103"/>
    </row>
    <row r="33" spans="1:7" x14ac:dyDescent="0.35">
      <c r="A33" s="103"/>
      <c r="B33" s="103"/>
      <c r="C33" s="103"/>
      <c r="D33" s="103"/>
      <c r="E33" s="103"/>
      <c r="F33" s="103"/>
      <c r="G33" s="103"/>
    </row>
    <row r="34" spans="1:7" x14ac:dyDescent="0.35">
      <c r="A34" s="103"/>
      <c r="B34" s="103"/>
      <c r="C34" s="103"/>
      <c r="D34" s="103"/>
      <c r="E34" s="103"/>
      <c r="F34" s="103"/>
      <c r="G34" s="103"/>
    </row>
    <row r="35" spans="1:7" x14ac:dyDescent="0.35">
      <c r="A35" s="103"/>
      <c r="B35" s="103"/>
      <c r="C35" s="103"/>
      <c r="D35" s="103"/>
      <c r="E35" s="103"/>
      <c r="F35" s="103"/>
      <c r="G35" s="103"/>
    </row>
  </sheetData>
  <sheetProtection formatCells="0" formatColumns="0" formatRows="0" sort="0" autoFilter="0"/>
  <mergeCells count="8">
    <mergeCell ref="B2:F3"/>
    <mergeCell ref="B4:F4"/>
    <mergeCell ref="B6:F6"/>
    <mergeCell ref="B30:F30"/>
    <mergeCell ref="B14:F14"/>
    <mergeCell ref="C8:D8"/>
    <mergeCell ref="C10:D10"/>
    <mergeCell ref="B26:F28"/>
  </mergeCells>
  <pageMargins left="0.4" right="0.4" top="0.5" bottom="0.5" header="0.3" footer="0.3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120"/>
  <sheetViews>
    <sheetView showGridLines="0" workbookViewId="0">
      <selection activeCell="E36" sqref="E36"/>
    </sheetView>
  </sheetViews>
  <sheetFormatPr defaultRowHeight="14.5" x14ac:dyDescent="0.35"/>
  <cols>
    <col min="1" max="1" width="18.6328125" customWidth="1"/>
    <col min="2" max="2" width="28.6328125" customWidth="1"/>
    <col min="3" max="3" width="22.6328125" customWidth="1"/>
    <col min="4" max="4" width="18.6328125" customWidth="1"/>
    <col min="5" max="6" width="14.6328125" customWidth="1"/>
    <col min="7" max="7" width="16.6328125" customWidth="1"/>
    <col min="8" max="8" width="18.6328125" customWidth="1"/>
    <col min="9" max="9" width="12.6328125" customWidth="1"/>
  </cols>
  <sheetData>
    <row r="1" spans="1:9" ht="26" customHeight="1" x14ac:dyDescent="0.35">
      <c r="A1" s="86" t="s">
        <v>948</v>
      </c>
      <c r="B1" s="87"/>
      <c r="C1" s="87"/>
      <c r="D1" s="87"/>
      <c r="E1" s="87"/>
      <c r="F1" s="87"/>
      <c r="G1" s="87"/>
      <c r="H1" s="87"/>
      <c r="I1" s="87"/>
    </row>
    <row r="2" spans="1:9" ht="8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24" customHeight="1" x14ac:dyDescent="0.35">
      <c r="A3" s="88" t="s">
        <v>885</v>
      </c>
      <c r="B3" s="76"/>
      <c r="C3" s="76"/>
      <c r="D3" s="77" t="s">
        <v>38</v>
      </c>
      <c r="E3" s="78"/>
      <c r="F3" s="77" t="s">
        <v>950</v>
      </c>
      <c r="G3" s="78"/>
      <c r="H3" s="78"/>
      <c r="I3" s="78"/>
    </row>
    <row r="4" spans="1:9" ht="21" customHeight="1" x14ac:dyDescent="0.35">
      <c r="A4" s="54" t="s">
        <v>886</v>
      </c>
      <c r="B4" s="89"/>
      <c r="C4" s="80"/>
      <c r="D4" s="55" t="s">
        <v>39</v>
      </c>
      <c r="E4" s="56"/>
      <c r="F4" s="90" t="s">
        <v>951</v>
      </c>
      <c r="G4" s="91"/>
      <c r="H4" s="91"/>
      <c r="I4" s="91"/>
    </row>
    <row r="5" spans="1:9" ht="21" customHeight="1" x14ac:dyDescent="0.35">
      <c r="A5" s="53" t="s">
        <v>42</v>
      </c>
      <c r="B5" s="79"/>
      <c r="C5" s="80"/>
      <c r="D5" s="57" t="s">
        <v>40</v>
      </c>
      <c r="E5" s="58"/>
      <c r="F5" s="91"/>
      <c r="G5" s="91"/>
      <c r="H5" s="91"/>
      <c r="I5" s="91"/>
    </row>
    <row r="6" spans="1:9" ht="21" customHeight="1" x14ac:dyDescent="0.35">
      <c r="A6" s="54" t="s">
        <v>887</v>
      </c>
      <c r="B6" s="79"/>
      <c r="C6" s="80"/>
      <c r="D6" s="55" t="s">
        <v>41</v>
      </c>
      <c r="E6" s="56"/>
      <c r="F6" s="91"/>
      <c r="G6" s="91"/>
      <c r="H6" s="91"/>
      <c r="I6" s="91"/>
    </row>
    <row r="7" spans="1:9" ht="21" customHeight="1" x14ac:dyDescent="0.35">
      <c r="A7" s="53" t="s">
        <v>888</v>
      </c>
      <c r="B7" s="79"/>
      <c r="C7" s="80"/>
      <c r="D7" s="57" t="s">
        <v>43</v>
      </c>
      <c r="E7" s="58"/>
      <c r="F7" s="91"/>
      <c r="G7" s="91"/>
      <c r="H7" s="91"/>
      <c r="I7" s="91"/>
    </row>
    <row r="8" spans="1:9" ht="21" customHeight="1" x14ac:dyDescent="0.35">
      <c r="A8" s="54" t="s">
        <v>44</v>
      </c>
      <c r="B8" s="79"/>
      <c r="C8" s="80"/>
      <c r="D8" s="59" t="s">
        <v>45</v>
      </c>
      <c r="E8" s="60"/>
      <c r="F8" s="91"/>
      <c r="G8" s="91"/>
      <c r="H8" s="91"/>
      <c r="I8" s="91"/>
    </row>
    <row r="9" spans="1:9" ht="21" customHeight="1" x14ac:dyDescent="0.35">
      <c r="A9" s="53" t="s">
        <v>46</v>
      </c>
      <c r="B9" s="79"/>
      <c r="C9" s="80"/>
      <c r="D9" s="57" t="s">
        <v>48</v>
      </c>
      <c r="E9" s="58"/>
      <c r="F9" s="83" t="s">
        <v>952</v>
      </c>
      <c r="G9" s="84"/>
      <c r="H9" s="84"/>
      <c r="I9" s="84"/>
    </row>
    <row r="10" spans="1:9" ht="21" customHeight="1" x14ac:dyDescent="0.35">
      <c r="A10" s="54" t="s">
        <v>50</v>
      </c>
      <c r="B10" s="79"/>
      <c r="C10" s="80"/>
      <c r="D10" s="33" t="s">
        <v>49</v>
      </c>
      <c r="E10" s="61"/>
      <c r="F10" s="84"/>
      <c r="G10" s="84"/>
      <c r="H10" s="84"/>
      <c r="I10" s="84"/>
    </row>
    <row r="11" spans="1:9" ht="21" customHeight="1" x14ac:dyDescent="0.35">
      <c r="A11" s="53" t="s">
        <v>889</v>
      </c>
      <c r="B11" s="79"/>
      <c r="C11" s="80"/>
      <c r="D11" s="57" t="s">
        <v>52</v>
      </c>
      <c r="E11" s="62"/>
      <c r="F11" s="84"/>
      <c r="G11" s="84"/>
      <c r="H11" s="84"/>
      <c r="I11" s="84"/>
    </row>
    <row r="12" spans="1:9" ht="21" customHeight="1" x14ac:dyDescent="0.35">
      <c r="A12" s="54" t="s">
        <v>890</v>
      </c>
      <c r="B12" s="79"/>
      <c r="C12" s="80"/>
      <c r="D12" s="55" t="s">
        <v>53</v>
      </c>
      <c r="E12" s="63"/>
      <c r="F12" s="84"/>
      <c r="G12" s="84"/>
      <c r="H12" s="84"/>
      <c r="I12" s="84"/>
    </row>
    <row r="13" spans="1:9" ht="21" customHeight="1" x14ac:dyDescent="0.35">
      <c r="A13" s="53" t="s">
        <v>54</v>
      </c>
      <c r="B13" s="79"/>
      <c r="C13" s="80"/>
      <c r="D13" s="57" t="s">
        <v>54</v>
      </c>
      <c r="E13" s="58"/>
      <c r="F13" s="84"/>
      <c r="G13" s="84"/>
      <c r="H13" s="84"/>
      <c r="I13" s="84"/>
    </row>
    <row r="14" spans="1:9" ht="21" customHeight="1" x14ac:dyDescent="0.35">
      <c r="A14" s="54" t="s">
        <v>56</v>
      </c>
      <c r="B14" s="79"/>
      <c r="C14" s="80"/>
      <c r="D14" s="55" t="s">
        <v>55</v>
      </c>
      <c r="E14" s="64" t="s">
        <v>956</v>
      </c>
      <c r="F14" s="85" t="s">
        <v>953</v>
      </c>
      <c r="G14" s="84"/>
      <c r="H14" s="84"/>
      <c r="I14" s="84"/>
    </row>
    <row r="15" spans="1:9" ht="21" customHeight="1" x14ac:dyDescent="0.35">
      <c r="A15" s="53" t="s">
        <v>891</v>
      </c>
      <c r="B15" s="79"/>
      <c r="C15" s="80"/>
      <c r="D15" s="81" t="s">
        <v>949</v>
      </c>
      <c r="E15" s="82"/>
      <c r="F15" s="84"/>
      <c r="G15" s="84"/>
      <c r="H15" s="84"/>
      <c r="I15" s="84"/>
    </row>
    <row r="16" spans="1:9" ht="21" customHeight="1" x14ac:dyDescent="0.35">
      <c r="A16" s="54" t="s">
        <v>58</v>
      </c>
      <c r="B16" s="79"/>
      <c r="C16" s="80"/>
      <c r="D16" s="82"/>
      <c r="E16" s="82"/>
      <c r="F16" s="84"/>
      <c r="G16" s="84"/>
      <c r="H16" s="84"/>
      <c r="I16" s="84"/>
    </row>
    <row r="17" spans="1:9" ht="21" customHeight="1" x14ac:dyDescent="0.35">
      <c r="A17" s="53" t="s">
        <v>892</v>
      </c>
      <c r="B17" s="79"/>
      <c r="C17" s="80"/>
      <c r="D17" s="82"/>
      <c r="E17" s="82"/>
      <c r="F17" s="84"/>
      <c r="G17" s="84"/>
      <c r="H17" s="84"/>
      <c r="I17" s="84"/>
    </row>
    <row r="18" spans="1:9" ht="10" customHeight="1" x14ac:dyDescent="0.35">
      <c r="A18" s="1"/>
      <c r="B18" s="1"/>
      <c r="C18" s="1"/>
      <c r="D18" s="1"/>
      <c r="E18" s="1"/>
      <c r="F18" s="1"/>
      <c r="G18" s="1"/>
      <c r="H18" s="1"/>
      <c r="I18" s="1"/>
    </row>
    <row r="19" spans="1:9" ht="24" customHeight="1" x14ac:dyDescent="0.35">
      <c r="A19" s="88" t="s">
        <v>893</v>
      </c>
      <c r="B19" s="76"/>
      <c r="C19" s="76"/>
      <c r="D19" s="88" t="s">
        <v>955</v>
      </c>
      <c r="E19" s="76"/>
      <c r="F19" s="76"/>
      <c r="G19" s="76"/>
      <c r="H19" s="76"/>
      <c r="I19" s="76"/>
    </row>
    <row r="20" spans="1:9" ht="21" customHeight="1" x14ac:dyDescent="0.35">
      <c r="A20" s="34" t="s">
        <v>894</v>
      </c>
      <c r="B20" s="79"/>
      <c r="C20" s="80"/>
      <c r="D20" s="65"/>
      <c r="E20" s="65"/>
      <c r="F20" s="65"/>
      <c r="G20" s="65"/>
      <c r="H20" s="65"/>
      <c r="I20" s="65"/>
    </row>
    <row r="21" spans="1:9" ht="21" customHeight="1" x14ac:dyDescent="0.35">
      <c r="A21" s="53" t="s">
        <v>895</v>
      </c>
      <c r="B21" s="79"/>
      <c r="C21" s="80"/>
      <c r="D21" s="65"/>
      <c r="E21" s="65"/>
      <c r="F21" s="65"/>
      <c r="G21" s="65"/>
      <c r="H21" s="65"/>
      <c r="I21" s="65"/>
    </row>
    <row r="22" spans="1:9" ht="21" customHeight="1" x14ac:dyDescent="0.35">
      <c r="A22" s="34" t="s">
        <v>896</v>
      </c>
      <c r="B22" s="79"/>
      <c r="C22" s="80"/>
      <c r="D22" s="65"/>
      <c r="E22" s="65"/>
      <c r="F22" s="65"/>
      <c r="G22" s="65"/>
      <c r="H22" s="65"/>
      <c r="I22" s="65"/>
    </row>
    <row r="23" spans="1:9" ht="21" customHeight="1" x14ac:dyDescent="0.35">
      <c r="A23" s="53" t="s">
        <v>897</v>
      </c>
      <c r="B23" s="79"/>
      <c r="C23" s="80"/>
      <c r="D23" s="65"/>
      <c r="E23" s="65"/>
      <c r="F23" s="65"/>
      <c r="G23" s="65"/>
      <c r="H23" s="65"/>
      <c r="I23" s="65"/>
    </row>
    <row r="24" spans="1:9" ht="21" customHeight="1" x14ac:dyDescent="0.35">
      <c r="A24" s="34" t="s">
        <v>898</v>
      </c>
      <c r="B24" s="79"/>
      <c r="C24" s="80"/>
      <c r="D24" s="65"/>
      <c r="E24" s="65"/>
      <c r="F24" s="65"/>
      <c r="G24" s="65"/>
      <c r="H24" s="65"/>
      <c r="I24" s="65"/>
    </row>
    <row r="25" spans="1:9" ht="21" customHeight="1" x14ac:dyDescent="0.35">
      <c r="A25" s="53" t="s">
        <v>899</v>
      </c>
      <c r="B25" s="79"/>
      <c r="C25" s="80"/>
      <c r="D25" s="65"/>
      <c r="E25" s="65"/>
      <c r="F25" s="65"/>
      <c r="G25" s="65"/>
      <c r="H25" s="65"/>
      <c r="I25" s="65"/>
    </row>
    <row r="26" spans="1:9" ht="21" customHeight="1" x14ac:dyDescent="0.35">
      <c r="A26" s="34" t="s">
        <v>64</v>
      </c>
      <c r="B26" s="79"/>
      <c r="C26" s="80"/>
      <c r="D26" s="65"/>
      <c r="E26" s="65"/>
      <c r="F26" s="65"/>
      <c r="G26" s="65"/>
      <c r="H26" s="65"/>
      <c r="I26" s="65"/>
    </row>
    <row r="27" spans="1:9" ht="21" customHeight="1" x14ac:dyDescent="0.35">
      <c r="A27" s="53" t="s">
        <v>65</v>
      </c>
      <c r="B27" s="79"/>
      <c r="C27" s="80"/>
      <c r="D27" s="65"/>
      <c r="E27" s="65"/>
      <c r="F27" s="65"/>
      <c r="G27" s="65"/>
      <c r="H27" s="65"/>
      <c r="I27" s="65"/>
    </row>
    <row r="28" spans="1:9" ht="21" customHeight="1" x14ac:dyDescent="0.35">
      <c r="A28" s="34" t="s">
        <v>66</v>
      </c>
      <c r="B28" s="79"/>
      <c r="C28" s="80"/>
      <c r="D28" s="65"/>
      <c r="E28" s="65"/>
      <c r="F28" s="65"/>
      <c r="G28" s="65"/>
      <c r="H28" s="65"/>
      <c r="I28" s="65"/>
    </row>
    <row r="29" spans="1:9" ht="21" customHeight="1" x14ac:dyDescent="0.35">
      <c r="A29" s="53" t="s">
        <v>67</v>
      </c>
      <c r="B29" s="79"/>
      <c r="C29" s="80"/>
      <c r="D29" s="65"/>
      <c r="E29" s="65"/>
      <c r="F29" s="65"/>
      <c r="G29" s="65"/>
      <c r="H29" s="65"/>
      <c r="I29" s="65"/>
    </row>
    <row r="30" spans="1:9" ht="21" customHeight="1" x14ac:dyDescent="0.35">
      <c r="A30" s="34" t="s">
        <v>900</v>
      </c>
      <c r="B30" s="79"/>
      <c r="C30" s="80"/>
      <c r="D30" s="65"/>
      <c r="E30" s="65"/>
      <c r="F30" s="65"/>
      <c r="G30" s="65"/>
      <c r="H30" s="65"/>
      <c r="I30" s="65"/>
    </row>
    <row r="31" spans="1:9" ht="21" customHeight="1" x14ac:dyDescent="0.35">
      <c r="A31" s="92" t="s">
        <v>954</v>
      </c>
      <c r="B31" s="91"/>
      <c r="C31" s="91"/>
      <c r="D31" s="65"/>
      <c r="E31" s="65"/>
      <c r="F31" s="65"/>
      <c r="G31" s="65"/>
      <c r="H31" s="65"/>
      <c r="I31" s="65"/>
    </row>
    <row r="32" spans="1:9" ht="21" customHeight="1" x14ac:dyDescent="0.35">
      <c r="A32" s="91"/>
      <c r="B32" s="91"/>
      <c r="C32" s="91"/>
      <c r="D32" s="65"/>
      <c r="E32" s="65"/>
      <c r="F32" s="65"/>
      <c r="G32" s="65"/>
      <c r="H32" s="65"/>
      <c r="I32" s="65"/>
    </row>
    <row r="33" spans="1:9" ht="21" customHeight="1" x14ac:dyDescent="0.35">
      <c r="A33" s="91"/>
      <c r="B33" s="91"/>
      <c r="C33" s="91"/>
      <c r="D33" s="65"/>
      <c r="E33" s="65"/>
      <c r="F33" s="65"/>
      <c r="G33" s="65"/>
      <c r="H33" s="65"/>
      <c r="I33" s="65"/>
    </row>
    <row r="34" spans="1:9" ht="10" customHeight="1" x14ac:dyDescent="0.35">
      <c r="A34" s="1"/>
      <c r="B34" s="1"/>
      <c r="C34" s="1"/>
      <c r="D34" s="1"/>
      <c r="E34" s="1"/>
      <c r="F34" s="1"/>
      <c r="G34" s="1"/>
      <c r="H34" s="1"/>
      <c r="I34" s="1"/>
    </row>
    <row r="35" spans="1:9" ht="26" customHeight="1" x14ac:dyDescent="0.35">
      <c r="A35" s="75" t="s">
        <v>947</v>
      </c>
      <c r="B35" s="76"/>
      <c r="C35" s="76"/>
      <c r="D35" s="76"/>
      <c r="E35" s="76"/>
      <c r="F35" s="76"/>
      <c r="G35" s="76"/>
      <c r="H35" s="76"/>
      <c r="I35" s="76"/>
    </row>
    <row r="36" spans="1:9" ht="10" customHeight="1" x14ac:dyDescent="0.35">
      <c r="A36" s="1"/>
      <c r="B36" s="1"/>
      <c r="C36" s="1"/>
      <c r="D36" s="1"/>
      <c r="E36" s="1"/>
      <c r="F36" s="1"/>
      <c r="G36" s="1"/>
      <c r="H36" s="1"/>
      <c r="I36" s="1"/>
    </row>
    <row r="37" spans="1:9" ht="24" customHeight="1" x14ac:dyDescent="0.35">
      <c r="A37" s="93" t="s">
        <v>946</v>
      </c>
      <c r="B37" s="94"/>
      <c r="C37" s="94"/>
      <c r="D37" s="94"/>
      <c r="E37" s="94"/>
      <c r="F37" s="94"/>
      <c r="G37" s="94"/>
      <c r="H37" s="94"/>
      <c r="I37" s="94"/>
    </row>
    <row r="38" spans="1:9" ht="22" customHeight="1" x14ac:dyDescent="0.35">
      <c r="A38" s="52" t="s">
        <v>69</v>
      </c>
      <c r="B38" s="52" t="s">
        <v>70</v>
      </c>
      <c r="C38" s="52" t="s">
        <v>71</v>
      </c>
      <c r="D38" s="52" t="s">
        <v>66</v>
      </c>
      <c r="E38" s="52" t="s">
        <v>72</v>
      </c>
      <c r="F38" s="52" t="s">
        <v>73</v>
      </c>
      <c r="G38" s="52" t="s">
        <v>74</v>
      </c>
      <c r="H38" s="52" t="s">
        <v>75</v>
      </c>
      <c r="I38" s="52" t="s">
        <v>76</v>
      </c>
    </row>
    <row r="39" spans="1:9" ht="26" customHeight="1" x14ac:dyDescent="0.35">
      <c r="A39" s="105" t="s">
        <v>945</v>
      </c>
      <c r="B39" s="106"/>
      <c r="C39" s="106"/>
      <c r="D39" s="106"/>
      <c r="E39" s="106"/>
      <c r="F39" s="106"/>
      <c r="G39" s="106"/>
      <c r="H39" s="106"/>
      <c r="I39" s="106"/>
    </row>
    <row r="40" spans="1:9" ht="26" customHeight="1" x14ac:dyDescent="0.35">
      <c r="A40" s="107"/>
      <c r="B40" s="107"/>
      <c r="C40" s="107"/>
      <c r="D40" s="107"/>
      <c r="E40" s="107"/>
      <c r="F40" s="107"/>
      <c r="G40" s="107"/>
      <c r="H40" s="107"/>
      <c r="I40" s="107"/>
    </row>
    <row r="41" spans="1:9" ht="24" customHeight="1" x14ac:dyDescent="0.35">
      <c r="A41" s="107"/>
      <c r="B41" s="107"/>
      <c r="C41" s="107"/>
      <c r="D41" s="107"/>
      <c r="E41" s="107"/>
      <c r="F41" s="107"/>
      <c r="G41" s="107"/>
      <c r="H41" s="107"/>
      <c r="I41" s="107"/>
    </row>
    <row r="42" spans="1:9" ht="26" customHeight="1" x14ac:dyDescent="0.35">
      <c r="A42" s="107"/>
      <c r="B42" s="107"/>
      <c r="C42" s="107"/>
      <c r="D42" s="107"/>
      <c r="E42" s="107"/>
      <c r="F42" s="107"/>
      <c r="G42" s="107"/>
      <c r="H42" s="107"/>
      <c r="I42" s="107"/>
    </row>
    <row r="43" spans="1:9" ht="22" customHeight="1" x14ac:dyDescent="0.35">
      <c r="A43" s="107"/>
      <c r="B43" s="107"/>
      <c r="C43" s="107"/>
      <c r="D43" s="107"/>
      <c r="E43" s="107"/>
      <c r="F43" s="107"/>
      <c r="G43" s="107"/>
      <c r="H43" s="107"/>
      <c r="I43" s="107"/>
    </row>
    <row r="44" spans="1:9" ht="22" customHeight="1" x14ac:dyDescent="0.35">
      <c r="A44" s="107"/>
      <c r="B44" s="107"/>
      <c r="C44" s="107"/>
      <c r="D44" s="107"/>
      <c r="E44" s="107"/>
      <c r="F44" s="107"/>
      <c r="G44" s="107"/>
      <c r="H44" s="107"/>
      <c r="I44" s="107"/>
    </row>
    <row r="45" spans="1:9" ht="22" customHeight="1" x14ac:dyDescent="0.35">
      <c r="A45" s="107"/>
      <c r="B45" s="107"/>
      <c r="C45" s="107"/>
      <c r="D45" s="107"/>
      <c r="E45" s="107"/>
      <c r="F45" s="107"/>
      <c r="G45" s="107"/>
      <c r="H45" s="107"/>
      <c r="I45" s="107"/>
    </row>
    <row r="46" spans="1:9" x14ac:dyDescent="0.35">
      <c r="A46" s="107"/>
      <c r="B46" s="107"/>
      <c r="C46" s="107"/>
      <c r="D46" s="107"/>
      <c r="E46" s="107"/>
      <c r="F46" s="107"/>
      <c r="G46" s="107"/>
      <c r="H46" s="107"/>
      <c r="I46" s="107"/>
    </row>
    <row r="47" spans="1:9" x14ac:dyDescent="0.35">
      <c r="A47" s="107"/>
      <c r="B47" s="107"/>
      <c r="C47" s="107"/>
      <c r="D47" s="107"/>
      <c r="E47" s="107"/>
      <c r="F47" s="107"/>
      <c r="G47" s="107"/>
      <c r="H47" s="107"/>
      <c r="I47" s="107"/>
    </row>
    <row r="48" spans="1:9" x14ac:dyDescent="0.35">
      <c r="A48" s="107"/>
      <c r="B48" s="107"/>
      <c r="C48" s="107"/>
      <c r="D48" s="107"/>
      <c r="E48" s="107"/>
      <c r="F48" s="107"/>
      <c r="G48" s="107"/>
      <c r="H48" s="107"/>
      <c r="I48" s="107"/>
    </row>
    <row r="49" spans="1:9" x14ac:dyDescent="0.35">
      <c r="A49" s="107"/>
      <c r="B49" s="107"/>
      <c r="C49" s="107"/>
      <c r="D49" s="107"/>
      <c r="E49" s="107"/>
      <c r="F49" s="107"/>
      <c r="G49" s="107"/>
      <c r="H49" s="107"/>
      <c r="I49" s="107"/>
    </row>
    <row r="50" spans="1:9" x14ac:dyDescent="0.35">
      <c r="A50" s="107"/>
      <c r="B50" s="107"/>
      <c r="C50" s="107"/>
      <c r="D50" s="107"/>
      <c r="E50" s="107"/>
      <c r="F50" s="107"/>
      <c r="G50" s="107"/>
      <c r="H50" s="107"/>
      <c r="I50" s="107"/>
    </row>
    <row r="51" spans="1:9" x14ac:dyDescent="0.35">
      <c r="A51" s="107"/>
      <c r="B51" s="107"/>
      <c r="C51" s="107"/>
      <c r="D51" s="107"/>
      <c r="E51" s="107"/>
      <c r="F51" s="107"/>
      <c r="G51" s="107"/>
      <c r="H51" s="107"/>
      <c r="I51" s="107"/>
    </row>
    <row r="52" spans="1:9" x14ac:dyDescent="0.35">
      <c r="A52" s="107"/>
      <c r="B52" s="107"/>
      <c r="C52" s="107"/>
      <c r="D52" s="107"/>
      <c r="E52" s="107"/>
      <c r="F52" s="107"/>
      <c r="G52" s="107"/>
      <c r="H52" s="107"/>
      <c r="I52" s="107"/>
    </row>
    <row r="53" spans="1:9" x14ac:dyDescent="0.35">
      <c r="A53" s="107"/>
      <c r="B53" s="107"/>
      <c r="C53" s="107"/>
      <c r="D53" s="107"/>
      <c r="E53" s="107"/>
      <c r="F53" s="107"/>
      <c r="G53" s="107"/>
      <c r="H53" s="107"/>
      <c r="I53" s="107"/>
    </row>
    <row r="54" spans="1:9" x14ac:dyDescent="0.35">
      <c r="A54" s="107"/>
      <c r="B54" s="107"/>
      <c r="C54" s="107"/>
      <c r="D54" s="107"/>
      <c r="E54" s="107"/>
      <c r="F54" s="107"/>
      <c r="G54" s="107"/>
      <c r="H54" s="107"/>
      <c r="I54" s="107"/>
    </row>
    <row r="55" spans="1:9" x14ac:dyDescent="0.35">
      <c r="A55" s="107"/>
      <c r="B55" s="107"/>
      <c r="C55" s="107"/>
      <c r="D55" s="107"/>
      <c r="E55" s="107"/>
      <c r="F55" s="107"/>
      <c r="G55" s="107"/>
      <c r="H55" s="107"/>
      <c r="I55" s="107"/>
    </row>
    <row r="56" spans="1:9" x14ac:dyDescent="0.35">
      <c r="A56" s="107"/>
      <c r="B56" s="107"/>
      <c r="C56" s="107"/>
      <c r="D56" s="107"/>
      <c r="E56" s="107"/>
      <c r="F56" s="107"/>
      <c r="G56" s="107"/>
      <c r="H56" s="107"/>
      <c r="I56" s="107"/>
    </row>
    <row r="57" spans="1:9" x14ac:dyDescent="0.35">
      <c r="A57" s="107"/>
      <c r="B57" s="107"/>
      <c r="C57" s="107"/>
      <c r="D57" s="107"/>
      <c r="E57" s="107"/>
      <c r="F57" s="107"/>
      <c r="G57" s="107"/>
      <c r="H57" s="107"/>
      <c r="I57" s="107"/>
    </row>
    <row r="58" spans="1:9" x14ac:dyDescent="0.35">
      <c r="A58" s="107"/>
      <c r="B58" s="107"/>
      <c r="C58" s="107"/>
      <c r="D58" s="107"/>
      <c r="E58" s="107"/>
      <c r="F58" s="107"/>
      <c r="G58" s="107"/>
      <c r="H58" s="107"/>
      <c r="I58" s="107"/>
    </row>
    <row r="59" spans="1:9" x14ac:dyDescent="0.35">
      <c r="A59" s="107"/>
      <c r="B59" s="107"/>
      <c r="C59" s="107"/>
      <c r="D59" s="107"/>
      <c r="E59" s="107"/>
      <c r="F59" s="107"/>
      <c r="G59" s="107"/>
      <c r="H59" s="107"/>
      <c r="I59" s="107"/>
    </row>
    <row r="60" spans="1:9" x14ac:dyDescent="0.35">
      <c r="A60" s="107"/>
      <c r="B60" s="107"/>
      <c r="C60" s="107"/>
      <c r="D60" s="107"/>
      <c r="E60" s="107"/>
      <c r="F60" s="107"/>
      <c r="G60" s="107"/>
      <c r="H60" s="107"/>
      <c r="I60" s="107"/>
    </row>
    <row r="61" spans="1:9" x14ac:dyDescent="0.35">
      <c r="A61" s="107"/>
      <c r="B61" s="107"/>
      <c r="C61" s="107"/>
      <c r="D61" s="107"/>
      <c r="E61" s="107"/>
      <c r="F61" s="107"/>
      <c r="G61" s="107"/>
      <c r="H61" s="107"/>
      <c r="I61" s="107"/>
    </row>
    <row r="62" spans="1:9" x14ac:dyDescent="0.35">
      <c r="A62" s="107"/>
      <c r="B62" s="107"/>
      <c r="C62" s="107"/>
      <c r="D62" s="107"/>
      <c r="E62" s="107"/>
      <c r="F62" s="107"/>
      <c r="G62" s="107"/>
      <c r="H62" s="107"/>
      <c r="I62" s="107"/>
    </row>
    <row r="63" spans="1:9" x14ac:dyDescent="0.35">
      <c r="A63" s="107"/>
      <c r="B63" s="107"/>
      <c r="C63" s="107"/>
      <c r="D63" s="107"/>
      <c r="E63" s="107"/>
      <c r="F63" s="107"/>
      <c r="G63" s="107"/>
      <c r="H63" s="107"/>
      <c r="I63" s="107"/>
    </row>
    <row r="64" spans="1:9" x14ac:dyDescent="0.35">
      <c r="A64" s="107"/>
      <c r="B64" s="107"/>
      <c r="C64" s="107"/>
      <c r="D64" s="107"/>
      <c r="E64" s="107"/>
      <c r="F64" s="107"/>
      <c r="G64" s="107"/>
      <c r="H64" s="107"/>
      <c r="I64" s="107"/>
    </row>
    <row r="65" spans="1:9" x14ac:dyDescent="0.35">
      <c r="A65" s="107"/>
      <c r="B65" s="107"/>
      <c r="C65" s="107"/>
      <c r="D65" s="107"/>
      <c r="E65" s="107"/>
      <c r="F65" s="107"/>
      <c r="G65" s="107"/>
      <c r="H65" s="107"/>
      <c r="I65" s="107"/>
    </row>
    <row r="66" spans="1:9" x14ac:dyDescent="0.35">
      <c r="A66" s="107"/>
      <c r="B66" s="107"/>
      <c r="C66" s="107"/>
      <c r="D66" s="107"/>
      <c r="E66" s="107"/>
      <c r="F66" s="107"/>
      <c r="G66" s="107"/>
      <c r="H66" s="107"/>
      <c r="I66" s="107"/>
    </row>
    <row r="67" spans="1:9" x14ac:dyDescent="0.35">
      <c r="A67" s="107"/>
      <c r="B67" s="107"/>
      <c r="C67" s="107"/>
      <c r="D67" s="107"/>
      <c r="E67" s="107"/>
      <c r="F67" s="107"/>
      <c r="G67" s="107"/>
      <c r="H67" s="107"/>
      <c r="I67" s="107"/>
    </row>
    <row r="68" spans="1:9" x14ac:dyDescent="0.35">
      <c r="A68" s="107"/>
      <c r="B68" s="107"/>
      <c r="C68" s="107"/>
      <c r="D68" s="107"/>
      <c r="E68" s="107"/>
      <c r="F68" s="107"/>
      <c r="G68" s="107"/>
      <c r="H68" s="107"/>
      <c r="I68" s="107"/>
    </row>
    <row r="69" spans="1:9" x14ac:dyDescent="0.35">
      <c r="A69" s="107"/>
      <c r="B69" s="107"/>
      <c r="C69" s="107"/>
      <c r="D69" s="107"/>
      <c r="E69" s="107"/>
      <c r="F69" s="107"/>
      <c r="G69" s="107"/>
      <c r="H69" s="107"/>
      <c r="I69" s="107"/>
    </row>
    <row r="70" spans="1:9" x14ac:dyDescent="0.35">
      <c r="A70" s="107"/>
      <c r="B70" s="107"/>
      <c r="C70" s="107"/>
      <c r="D70" s="107"/>
      <c r="E70" s="107"/>
      <c r="F70" s="107"/>
      <c r="G70" s="107"/>
      <c r="H70" s="107"/>
      <c r="I70" s="107"/>
    </row>
    <row r="71" spans="1:9" x14ac:dyDescent="0.35">
      <c r="A71" s="107"/>
      <c r="B71" s="107"/>
      <c r="C71" s="107"/>
      <c r="D71" s="107"/>
      <c r="E71" s="107"/>
      <c r="F71" s="107"/>
      <c r="G71" s="107"/>
      <c r="H71" s="107"/>
      <c r="I71" s="107"/>
    </row>
    <row r="72" spans="1:9" x14ac:dyDescent="0.35">
      <c r="A72" s="107"/>
      <c r="B72" s="107"/>
      <c r="C72" s="107"/>
      <c r="D72" s="107"/>
      <c r="E72" s="107"/>
      <c r="F72" s="107"/>
      <c r="G72" s="107"/>
      <c r="H72" s="107"/>
      <c r="I72" s="107"/>
    </row>
    <row r="73" spans="1:9" x14ac:dyDescent="0.35">
      <c r="A73" s="107"/>
      <c r="B73" s="107"/>
      <c r="C73" s="107"/>
      <c r="D73" s="107"/>
      <c r="E73" s="107"/>
      <c r="F73" s="107"/>
      <c r="G73" s="107"/>
      <c r="H73" s="107"/>
      <c r="I73" s="107"/>
    </row>
    <row r="74" spans="1:9" x14ac:dyDescent="0.35">
      <c r="A74" s="107"/>
      <c r="B74" s="107"/>
      <c r="C74" s="107"/>
      <c r="D74" s="107"/>
      <c r="E74" s="107"/>
      <c r="F74" s="107"/>
      <c r="G74" s="107"/>
      <c r="H74" s="107"/>
      <c r="I74" s="107"/>
    </row>
    <row r="75" spans="1:9" x14ac:dyDescent="0.35">
      <c r="A75" s="107"/>
      <c r="B75" s="107"/>
      <c r="C75" s="107"/>
      <c r="D75" s="107"/>
      <c r="E75" s="107"/>
      <c r="F75" s="107"/>
      <c r="G75" s="107"/>
      <c r="H75" s="107"/>
      <c r="I75" s="107"/>
    </row>
    <row r="76" spans="1:9" x14ac:dyDescent="0.35">
      <c r="A76" s="1"/>
      <c r="B76" s="1"/>
      <c r="C76" s="1"/>
      <c r="D76" s="1"/>
      <c r="E76" s="1"/>
      <c r="F76" s="1"/>
      <c r="G76" s="1"/>
      <c r="H76" s="1"/>
      <c r="I76" s="1"/>
    </row>
    <row r="77" spans="1:9" x14ac:dyDescent="0.35">
      <c r="A77" s="1"/>
      <c r="B77" s="1"/>
      <c r="C77" s="1"/>
      <c r="D77" s="1"/>
      <c r="E77" s="1"/>
      <c r="F77" s="1"/>
      <c r="G77" s="1"/>
      <c r="H77" s="1"/>
      <c r="I77" s="1"/>
    </row>
    <row r="78" spans="1:9" x14ac:dyDescent="0.35">
      <c r="A78" s="1"/>
      <c r="B78" s="1"/>
      <c r="C78" s="1"/>
      <c r="D78" s="1"/>
      <c r="E78" s="1"/>
      <c r="F78" s="1"/>
      <c r="G78" s="1"/>
      <c r="H78" s="1"/>
      <c r="I78" s="1"/>
    </row>
    <row r="79" spans="1:9" x14ac:dyDescent="0.35">
      <c r="A79" s="1"/>
      <c r="B79" s="1"/>
      <c r="C79" s="1"/>
      <c r="D79" s="1"/>
      <c r="E79" s="1"/>
      <c r="F79" s="1"/>
      <c r="G79" s="1"/>
      <c r="H79" s="1"/>
      <c r="I79" s="1"/>
    </row>
    <row r="80" spans="1:9" x14ac:dyDescent="0.35">
      <c r="A80" s="1"/>
      <c r="B80" s="1"/>
      <c r="C80" s="1"/>
      <c r="D80" s="1"/>
      <c r="E80" s="1"/>
      <c r="F80" s="1"/>
      <c r="G80" s="1"/>
      <c r="H80" s="1"/>
      <c r="I80" s="1"/>
    </row>
    <row r="81" spans="1:9" x14ac:dyDescent="0.35">
      <c r="A81" s="1"/>
      <c r="B81" s="1"/>
      <c r="C81" s="1"/>
      <c r="D81" s="1"/>
      <c r="E81" s="1"/>
      <c r="F81" s="1"/>
      <c r="G81" s="1"/>
      <c r="H81" s="1"/>
      <c r="I81" s="1"/>
    </row>
    <row r="82" spans="1:9" x14ac:dyDescent="0.35">
      <c r="A82" s="1"/>
      <c r="B82" s="1"/>
      <c r="C82" s="1"/>
      <c r="D82" s="1"/>
      <c r="E82" s="1"/>
      <c r="F82" s="1"/>
      <c r="G82" s="1"/>
      <c r="H82" s="1"/>
      <c r="I82" s="1"/>
    </row>
    <row r="83" spans="1:9" x14ac:dyDescent="0.35">
      <c r="A83" s="1"/>
      <c r="B83" s="1"/>
      <c r="C83" s="1"/>
      <c r="D83" s="1"/>
      <c r="E83" s="1"/>
      <c r="F83" s="1"/>
      <c r="G83" s="1"/>
      <c r="H83" s="1"/>
      <c r="I83" s="1"/>
    </row>
    <row r="84" spans="1:9" x14ac:dyDescent="0.35">
      <c r="A84" s="1"/>
      <c r="B84" s="1"/>
      <c r="C84" s="1"/>
      <c r="D84" s="1"/>
      <c r="E84" s="1"/>
      <c r="F84" s="1"/>
      <c r="G84" s="1"/>
      <c r="H84" s="1"/>
      <c r="I84" s="1"/>
    </row>
    <row r="85" spans="1:9" x14ac:dyDescent="0.35">
      <c r="A85" s="1"/>
      <c r="B85" s="1"/>
      <c r="C85" s="1"/>
      <c r="D85" s="1"/>
      <c r="E85" s="1"/>
      <c r="F85" s="1"/>
      <c r="G85" s="1"/>
      <c r="H85" s="1"/>
      <c r="I85" s="1"/>
    </row>
    <row r="86" spans="1:9" x14ac:dyDescent="0.35">
      <c r="A86" s="1"/>
      <c r="B86" s="1"/>
      <c r="C86" s="1"/>
      <c r="D86" s="1"/>
      <c r="E86" s="1"/>
      <c r="F86" s="1"/>
      <c r="G86" s="1"/>
      <c r="H86" s="1"/>
      <c r="I86" s="1"/>
    </row>
    <row r="87" spans="1:9" x14ac:dyDescent="0.35">
      <c r="A87" s="1"/>
      <c r="B87" s="1"/>
      <c r="C87" s="1"/>
      <c r="D87" s="1"/>
      <c r="E87" s="1"/>
      <c r="F87" s="1"/>
      <c r="G87" s="1"/>
      <c r="H87" s="1"/>
      <c r="I87" s="1"/>
    </row>
    <row r="88" spans="1:9" x14ac:dyDescent="0.35">
      <c r="A88" s="1"/>
      <c r="B88" s="1"/>
      <c r="C88" s="1"/>
      <c r="D88" s="1"/>
      <c r="E88" s="1"/>
      <c r="F88" s="1"/>
      <c r="G88" s="1"/>
      <c r="H88" s="1"/>
      <c r="I88" s="1"/>
    </row>
    <row r="89" spans="1:9" x14ac:dyDescent="0.35">
      <c r="A89" s="1"/>
      <c r="B89" s="1"/>
      <c r="C89" s="1"/>
      <c r="D89" s="1"/>
      <c r="E89" s="1"/>
      <c r="F89" s="1"/>
      <c r="G89" s="1"/>
      <c r="H89" s="1"/>
      <c r="I89" s="1"/>
    </row>
    <row r="90" spans="1:9" x14ac:dyDescent="0.35">
      <c r="A90" s="1"/>
      <c r="B90" s="1"/>
      <c r="C90" s="1"/>
      <c r="D90" s="1"/>
      <c r="E90" s="1"/>
      <c r="F90" s="1"/>
      <c r="G90" s="1"/>
      <c r="H90" s="1"/>
      <c r="I90" s="1"/>
    </row>
    <row r="91" spans="1:9" x14ac:dyDescent="0.35">
      <c r="A91" s="1"/>
      <c r="B91" s="1"/>
      <c r="C91" s="1"/>
      <c r="D91" s="1"/>
      <c r="E91" s="1"/>
      <c r="F91" s="1"/>
      <c r="G91" s="1"/>
      <c r="H91" s="1"/>
      <c r="I91" s="1"/>
    </row>
    <row r="92" spans="1:9" x14ac:dyDescent="0.35">
      <c r="A92" s="1"/>
      <c r="B92" s="1"/>
      <c r="C92" s="1"/>
      <c r="D92" s="1"/>
      <c r="E92" s="1"/>
      <c r="F92" s="1"/>
      <c r="G92" s="1"/>
      <c r="H92" s="1"/>
      <c r="I92" s="1"/>
    </row>
    <row r="93" spans="1:9" x14ac:dyDescent="0.35">
      <c r="A93" s="1"/>
      <c r="B93" s="1"/>
      <c r="C93" s="1"/>
      <c r="D93" s="1"/>
      <c r="E93" s="1"/>
      <c r="F93" s="1"/>
      <c r="G93" s="1"/>
      <c r="H93" s="1"/>
      <c r="I93" s="1"/>
    </row>
    <row r="94" spans="1:9" x14ac:dyDescent="0.35">
      <c r="A94" s="1"/>
      <c r="B94" s="1"/>
      <c r="C94" s="1"/>
      <c r="D94" s="1"/>
      <c r="E94" s="1"/>
      <c r="F94" s="1"/>
      <c r="G94" s="1"/>
      <c r="H94" s="1"/>
      <c r="I94" s="1"/>
    </row>
    <row r="95" spans="1:9" x14ac:dyDescent="0.35">
      <c r="A95" s="1"/>
      <c r="B95" s="1"/>
      <c r="C95" s="1"/>
      <c r="D95" s="1"/>
      <c r="E95" s="1"/>
      <c r="F95" s="1"/>
      <c r="G95" s="1"/>
      <c r="H95" s="1"/>
      <c r="I95" s="1"/>
    </row>
    <row r="96" spans="1:9" x14ac:dyDescent="0.35">
      <c r="A96" s="1"/>
      <c r="B96" s="1"/>
      <c r="C96" s="1"/>
      <c r="D96" s="1"/>
      <c r="E96" s="1"/>
      <c r="F96" s="1"/>
      <c r="G96" s="1"/>
      <c r="H96" s="1"/>
      <c r="I96" s="1"/>
    </row>
    <row r="97" spans="1:9" x14ac:dyDescent="0.35">
      <c r="A97" s="1"/>
      <c r="B97" s="1"/>
      <c r="C97" s="1"/>
      <c r="D97" s="1"/>
      <c r="E97" s="1"/>
      <c r="F97" s="1"/>
      <c r="G97" s="1"/>
      <c r="H97" s="1"/>
      <c r="I97" s="1"/>
    </row>
    <row r="98" spans="1:9" x14ac:dyDescent="0.35">
      <c r="A98" s="1"/>
      <c r="B98" s="1"/>
      <c r="C98" s="1"/>
      <c r="D98" s="1"/>
      <c r="E98" s="1"/>
      <c r="F98" s="1"/>
      <c r="G98" s="1"/>
      <c r="H98" s="1"/>
      <c r="I98" s="1"/>
    </row>
    <row r="99" spans="1:9" x14ac:dyDescent="0.35">
      <c r="A99" s="1"/>
      <c r="B99" s="1"/>
      <c r="C99" s="1"/>
      <c r="D99" s="1"/>
      <c r="E99" s="1"/>
      <c r="F99" s="1"/>
      <c r="G99" s="1"/>
      <c r="H99" s="1"/>
      <c r="I99" s="1"/>
    </row>
    <row r="100" spans="1:9" x14ac:dyDescent="0.35">
      <c r="A100" s="1"/>
      <c r="B100" s="1"/>
      <c r="C100" s="1"/>
      <c r="D100" s="1"/>
      <c r="E100" s="1"/>
      <c r="F100" s="1"/>
      <c r="G100" s="1"/>
      <c r="H100" s="1"/>
      <c r="I100" s="1"/>
    </row>
    <row r="101" spans="1:9" x14ac:dyDescent="0.35">
      <c r="A101" s="1"/>
      <c r="B101" s="1"/>
      <c r="C101" s="1"/>
      <c r="D101" s="1"/>
      <c r="E101" s="1"/>
      <c r="F101" s="1"/>
      <c r="G101" s="1"/>
      <c r="H101" s="1"/>
      <c r="I101" s="1"/>
    </row>
    <row r="102" spans="1:9" x14ac:dyDescent="0.35">
      <c r="A102" s="1"/>
      <c r="B102" s="1"/>
      <c r="C102" s="1"/>
      <c r="D102" s="1"/>
      <c r="E102" s="1"/>
      <c r="F102" s="1"/>
      <c r="G102" s="1"/>
      <c r="H102" s="1"/>
      <c r="I102" s="1"/>
    </row>
    <row r="103" spans="1:9" x14ac:dyDescent="0.35">
      <c r="A103" s="1"/>
      <c r="B103" s="1"/>
      <c r="C103" s="1"/>
      <c r="D103" s="1"/>
      <c r="E103" s="1"/>
      <c r="F103" s="1"/>
      <c r="G103" s="1"/>
      <c r="H103" s="1"/>
      <c r="I103" s="1"/>
    </row>
    <row r="104" spans="1:9" x14ac:dyDescent="0.35">
      <c r="A104" s="1"/>
      <c r="B104" s="1"/>
      <c r="C104" s="1"/>
      <c r="D104" s="1"/>
      <c r="E104" s="1"/>
      <c r="F104" s="1"/>
      <c r="G104" s="1"/>
      <c r="H104" s="1"/>
      <c r="I104" s="1"/>
    </row>
    <row r="105" spans="1:9" x14ac:dyDescent="0.35">
      <c r="A105" s="1"/>
      <c r="B105" s="1"/>
      <c r="C105" s="1"/>
      <c r="D105" s="1"/>
      <c r="E105" s="1"/>
      <c r="F105" s="1"/>
      <c r="G105" s="1"/>
      <c r="H105" s="1"/>
      <c r="I105" s="1"/>
    </row>
    <row r="106" spans="1:9" x14ac:dyDescent="0.35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35">
      <c r="A107" s="1"/>
      <c r="B107" s="1"/>
      <c r="C107" s="1"/>
      <c r="D107" s="1"/>
      <c r="E107" s="1"/>
      <c r="F107" s="1"/>
      <c r="G107" s="1"/>
      <c r="H107" s="1"/>
      <c r="I107" s="1"/>
    </row>
    <row r="108" spans="1:9" x14ac:dyDescent="0.35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35">
      <c r="A109" s="1"/>
      <c r="B109" s="1"/>
      <c r="C109" s="1"/>
      <c r="D109" s="1"/>
      <c r="E109" s="1"/>
      <c r="F109" s="1"/>
      <c r="G109" s="1"/>
      <c r="H109" s="1"/>
      <c r="I109" s="1"/>
    </row>
    <row r="110" spans="1:9" x14ac:dyDescent="0.35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35">
      <c r="A111" s="1"/>
      <c r="B111" s="1"/>
      <c r="C111" s="1"/>
      <c r="D111" s="1"/>
      <c r="E111" s="1"/>
      <c r="F111" s="1"/>
      <c r="G111" s="1"/>
      <c r="H111" s="1"/>
      <c r="I111" s="1"/>
    </row>
    <row r="112" spans="1:9" x14ac:dyDescent="0.35">
      <c r="A112" s="1"/>
      <c r="B112" s="1"/>
      <c r="C112" s="1"/>
      <c r="D112" s="1"/>
      <c r="E112" s="1"/>
      <c r="F112" s="1"/>
      <c r="G112" s="1"/>
      <c r="H112" s="1"/>
      <c r="I112" s="1"/>
    </row>
    <row r="113" spans="1:9" x14ac:dyDescent="0.35">
      <c r="A113" s="1"/>
      <c r="B113" s="1"/>
      <c r="C113" s="1"/>
      <c r="D113" s="1"/>
      <c r="E113" s="1"/>
      <c r="F113" s="1"/>
      <c r="G113" s="1"/>
      <c r="H113" s="1"/>
      <c r="I113" s="1"/>
    </row>
    <row r="114" spans="1:9" x14ac:dyDescent="0.35">
      <c r="A114" s="1"/>
      <c r="B114" s="1"/>
      <c r="C114" s="1"/>
      <c r="D114" s="1"/>
      <c r="E114" s="1"/>
      <c r="F114" s="1"/>
      <c r="G114" s="1"/>
      <c r="H114" s="1"/>
      <c r="I114" s="1"/>
    </row>
    <row r="115" spans="1:9" x14ac:dyDescent="0.35">
      <c r="A115" s="1"/>
      <c r="B115" s="1"/>
      <c r="C115" s="1"/>
      <c r="D115" s="1"/>
      <c r="E115" s="1"/>
      <c r="F115" s="1"/>
      <c r="G115" s="1"/>
      <c r="H115" s="1"/>
      <c r="I115" s="1"/>
    </row>
    <row r="116" spans="1:9" x14ac:dyDescent="0.35">
      <c r="A116" s="1"/>
      <c r="B116" s="1"/>
      <c r="C116" s="1"/>
      <c r="D116" s="1"/>
      <c r="E116" s="1"/>
      <c r="F116" s="1"/>
      <c r="G116" s="1"/>
      <c r="H116" s="1"/>
      <c r="I116" s="1"/>
    </row>
    <row r="117" spans="1:9" x14ac:dyDescent="0.35">
      <c r="A117" s="1"/>
      <c r="B117" s="1"/>
      <c r="C117" s="1"/>
      <c r="D117" s="1"/>
      <c r="E117" s="1"/>
      <c r="F117" s="1"/>
      <c r="G117" s="1"/>
      <c r="H117" s="1"/>
      <c r="I117" s="1"/>
    </row>
    <row r="118" spans="1:9" x14ac:dyDescent="0.35">
      <c r="A118" s="1"/>
      <c r="B118" s="1"/>
      <c r="C118" s="1"/>
      <c r="D118" s="1"/>
      <c r="E118" s="1"/>
      <c r="F118" s="1"/>
      <c r="G118" s="1"/>
      <c r="H118" s="1"/>
      <c r="I118" s="1"/>
    </row>
    <row r="119" spans="1:9" x14ac:dyDescent="0.35">
      <c r="A119" s="1"/>
      <c r="B119" s="1"/>
      <c r="C119" s="1"/>
      <c r="D119" s="1"/>
      <c r="E119" s="1"/>
      <c r="F119" s="1"/>
      <c r="G119" s="1"/>
      <c r="H119" s="1"/>
      <c r="I119" s="1"/>
    </row>
    <row r="120" spans="1:9" x14ac:dyDescent="0.35">
      <c r="A120" s="1"/>
      <c r="B120" s="1"/>
      <c r="C120" s="1"/>
      <c r="D120" s="1"/>
      <c r="E120" s="1"/>
      <c r="F120" s="1"/>
      <c r="G120" s="1"/>
      <c r="H120" s="1"/>
      <c r="I120" s="1"/>
    </row>
  </sheetData>
  <sheetProtection formatCells="0" formatColumns="0" formatRows="0" sort="0" autoFilter="0"/>
  <mergeCells count="39">
    <mergeCell ref="A39:I39"/>
    <mergeCell ref="B29:C29"/>
    <mergeCell ref="B30:C30"/>
    <mergeCell ref="A31:C33"/>
    <mergeCell ref="D19:I19"/>
    <mergeCell ref="A37:I37"/>
    <mergeCell ref="B24:C24"/>
    <mergeCell ref="B25:C25"/>
    <mergeCell ref="B26:C26"/>
    <mergeCell ref="B27:C27"/>
    <mergeCell ref="B28:C28"/>
    <mergeCell ref="A19:C19"/>
    <mergeCell ref="B20:C20"/>
    <mergeCell ref="B21:C21"/>
    <mergeCell ref="B22:C22"/>
    <mergeCell ref="B23:C23"/>
    <mergeCell ref="A1:I1"/>
    <mergeCell ref="A3:C3"/>
    <mergeCell ref="B4:C4"/>
    <mergeCell ref="B5:C5"/>
    <mergeCell ref="B6:C6"/>
    <mergeCell ref="F3:I3"/>
    <mergeCell ref="F4:I8"/>
    <mergeCell ref="A35:I35"/>
    <mergeCell ref="D3:E3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D15:E17"/>
    <mergeCell ref="F9:I13"/>
    <mergeCell ref="F14:I17"/>
  </mergeCells>
  <dataValidations count="15">
    <dataValidation type="list" allowBlank="1" showInputMessage="1" showErrorMessage="1" sqref="B20" xr:uid="{00000000-0002-0000-0200-000000000000}">
      <formula1>ProductList</formula1>
    </dataValidation>
    <dataValidation type="list" allowBlank="1" showInputMessage="1" showErrorMessage="1" sqref="B21" xr:uid="{00000000-0002-0000-0200-000001000000}">
      <formula1>FamilyList</formula1>
    </dataValidation>
    <dataValidation type="list" allowBlank="1" showInputMessage="1" showErrorMessage="1" sqref="B22" xr:uid="{00000000-0002-0000-0200-000002000000}">
      <formula1>BasisList</formula1>
    </dataValidation>
    <dataValidation type="list" allowBlank="1" showInputMessage="1" showErrorMessage="1" sqref="B26" xr:uid="{00000000-0002-0000-0200-000003000000}">
      <formula1>ExternalCoatingList</formula1>
    </dataValidation>
    <dataValidation type="list" allowBlank="1" showInputMessage="1" showErrorMessage="1" sqref="B27" xr:uid="{00000000-0002-0000-0200-000004000000}">
      <formula1>InternalCoatingList</formula1>
    </dataValidation>
    <dataValidation type="list" allowBlank="1" showInputMessage="1" showErrorMessage="1" sqref="B24" xr:uid="{6EA17EFE-607A-4AB6-8BB0-0FD3E48CD0B1}">
      <formula1>WT_HSAW</formula1>
    </dataValidation>
    <dataValidation type="list" allowBlank="1" showInputMessage="1" showErrorMessage="1" sqref="B25" xr:uid="{1D8C4D8A-7128-42AF-8A73-014EA13B5C0D}">
      <formula1>Grades_HSAW</formula1>
    </dataValidation>
    <dataValidation type="list" allowBlank="1" showInputMessage="1" showErrorMessage="1" sqref="B23" xr:uid="{9ACEA87F-D319-4C4B-B0BE-0B2EB42B8737}">
      <formula1>Sizes_HSAW_ID</formula1>
    </dataValidation>
    <dataValidation type="list" allowBlank="1" showInputMessage="1" showErrorMessage="1" errorTitle="Invalid selection" error="Select a customer from tblCustomers." sqref="B8" xr:uid="{EBAA7EB6-B00F-4EA8-807E-E9A302F4A98A}">
      <formula1>CustomerNames</formula1>
    </dataValidation>
    <dataValidation type="list" allowBlank="1" showInputMessage="1" showErrorMessage="1" errorTitle="Invalid selection" error="Select a plant from tblPlants." sqref="B13" xr:uid="{8567F288-678C-475B-9D34-BF2EE2DEFAF5}">
      <formula1>PlantNames</formula1>
    </dataValidation>
    <dataValidation type="list" allowBlank="1" showInputMessage="1" showErrorMessage="1" errorTitle="Invalid selection" error="Select a payment term from tblPaymentTerms." sqref="B14" xr:uid="{FCA2425C-E6B8-4D9D-A0E8-404D00AFDA4A}">
      <formula1>PaymentTermDescriptions</formula1>
    </dataValidation>
    <dataValidation type="list" allowBlank="1" showInputMessage="1" showErrorMessage="1" errorTitle="Invalid selection" error="Select Metres, MT, or Nos." sqref="B16" xr:uid="{B5719E05-E28F-4E1C-9BC5-635081875745}">
      <formula1>"Metres,MT,Nos"</formula1>
    </dataValidation>
    <dataValidation type="list" allowBlank="1" showInputMessage="1" showErrorMessage="1" errorTitle="Invalid selection" error="Select Pricing Mode." sqref="B17" xr:uid="{5BA391A7-3757-4DAF-83B8-7F9BDCB43B0E}">
      <formula1>"NORMAL (Option 1),LEGACY"</formula1>
    </dataValidation>
    <dataValidation type="decimal" operator="greaterThan" allowBlank="1" showInputMessage="1" showErrorMessage="1" errorTitle="Invalid quantity" error="Quantity must be greater than zero." sqref="B28" xr:uid="{66E6F4B4-5672-4FE6-BBFE-7586B2C2DCB1}">
      <formula1>0</formula1>
    </dataValidation>
    <dataValidation type="list" allowBlank="1" showInputMessage="1" showErrorMessage="1" errorTitle="Invalid value" error="Select Metres, MT, or Nos." sqref="B29" xr:uid="{0F552116-B509-4CD3-AC25-1D1B6AD05E67}">
      <formula1>"Metres,MT,Nos"</formula1>
    </dataValidation>
  </dataValidations>
  <pageMargins left="0.25" right="0.25" top="0.3" bottom="0.3" header="0.3" footer="0.3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3"/>
  <sheetViews>
    <sheetView showGridLines="0" workbookViewId="0">
      <selection activeCell="E6" sqref="E6"/>
    </sheetView>
  </sheetViews>
  <sheetFormatPr defaultRowHeight="14.5" x14ac:dyDescent="0.35"/>
  <cols>
    <col min="1" max="24" width="16.7265625" style="1" customWidth="1"/>
    <col min="25" max="16384" width="8.7265625" style="1"/>
  </cols>
  <sheetData>
    <row r="3" spans="1:24" x14ac:dyDescent="0.35">
      <c r="A3" s="1" t="s">
        <v>77</v>
      </c>
      <c r="B3" s="1" t="s">
        <v>78</v>
      </c>
      <c r="C3" s="1" t="s">
        <v>79</v>
      </c>
      <c r="D3" s="1" t="s">
        <v>60</v>
      </c>
      <c r="E3" s="1" t="s">
        <v>61</v>
      </c>
      <c r="F3" s="1" t="s">
        <v>80</v>
      </c>
      <c r="G3" s="1" t="s">
        <v>81</v>
      </c>
      <c r="H3" s="1" t="s">
        <v>82</v>
      </c>
      <c r="I3" s="1" t="s">
        <v>83</v>
      </c>
      <c r="J3" s="1" t="s">
        <v>84</v>
      </c>
      <c r="K3" s="1" t="s">
        <v>66</v>
      </c>
      <c r="L3" s="1" t="s">
        <v>85</v>
      </c>
      <c r="M3" s="1" t="s">
        <v>86</v>
      </c>
      <c r="N3" s="1" t="s">
        <v>87</v>
      </c>
      <c r="O3" s="1" t="s">
        <v>88</v>
      </c>
      <c r="P3" s="1" t="s">
        <v>89</v>
      </c>
      <c r="Q3" s="1" t="s">
        <v>59</v>
      </c>
      <c r="R3" s="1" t="s">
        <v>90</v>
      </c>
      <c r="S3" s="1" t="s">
        <v>91</v>
      </c>
      <c r="T3" s="1" t="s">
        <v>92</v>
      </c>
      <c r="U3" s="1" t="s">
        <v>93</v>
      </c>
      <c r="V3" s="1" t="s">
        <v>94</v>
      </c>
      <c r="W3" s="1" t="s">
        <v>95</v>
      </c>
      <c r="X3" s="1" t="s">
        <v>76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4" x14ac:dyDescent="0.35">
      <c r="A1" t="s">
        <v>939</v>
      </c>
      <c r="B1" t="s">
        <v>940</v>
      </c>
    </row>
    <row r="2" spans="1:4" x14ac:dyDescent="0.35">
      <c r="A2" t="s">
        <v>100</v>
      </c>
      <c r="B2" t="s">
        <v>901</v>
      </c>
    </row>
    <row r="5" spans="1:4" x14ac:dyDescent="0.35">
      <c r="A5" t="s">
        <v>101</v>
      </c>
      <c r="B5" t="s">
        <v>102</v>
      </c>
    </row>
    <row r="6" spans="1:4" x14ac:dyDescent="0.35">
      <c r="A6" t="s">
        <v>103</v>
      </c>
      <c r="B6" t="s">
        <v>938</v>
      </c>
    </row>
    <row r="7" spans="1:4" x14ac:dyDescent="0.35">
      <c r="A7" t="s">
        <v>104</v>
      </c>
      <c r="B7" t="s">
        <v>902</v>
      </c>
    </row>
    <row r="12" spans="1:4" x14ac:dyDescent="0.35">
      <c r="A12" s="14" t="s">
        <v>105</v>
      </c>
      <c r="B12" s="14"/>
      <c r="C12" s="14">
        <v>1</v>
      </c>
      <c r="D12" s="14" t="s">
        <v>106</v>
      </c>
    </row>
    <row r="13" spans="1:4" x14ac:dyDescent="0.35">
      <c r="A13" s="15" t="s">
        <v>107</v>
      </c>
      <c r="B13" s="15"/>
      <c r="C13" s="15">
        <v>49</v>
      </c>
      <c r="D13" s="15"/>
    </row>
    <row r="14" spans="1:4" x14ac:dyDescent="0.35">
      <c r="A14" s="16" t="s">
        <v>108</v>
      </c>
      <c r="B14" s="16"/>
      <c r="C14" s="16">
        <v>1226</v>
      </c>
      <c r="D14" s="16"/>
    </row>
    <row r="15" spans="1:4" x14ac:dyDescent="0.35">
      <c r="A15" s="16" t="s">
        <v>109</v>
      </c>
      <c r="B15" s="16"/>
      <c r="C15" s="16">
        <v>1243</v>
      </c>
      <c r="D15" s="16"/>
    </row>
    <row r="16" spans="1:4" x14ac:dyDescent="0.35">
      <c r="A16" s="16" t="s">
        <v>110</v>
      </c>
      <c r="B16" s="16"/>
      <c r="C16" s="16">
        <v>8.4</v>
      </c>
      <c r="D16" s="16"/>
    </row>
    <row r="17" spans="1:4" x14ac:dyDescent="0.35">
      <c r="A17" s="17" t="s">
        <v>111</v>
      </c>
      <c r="B17" s="17"/>
      <c r="C17" s="18">
        <v>0.25575553835999998</v>
      </c>
      <c r="D17" s="17"/>
    </row>
    <row r="18" spans="1:4" x14ac:dyDescent="0.35">
      <c r="A18" s="19" t="s">
        <v>112</v>
      </c>
      <c r="B18" s="19"/>
      <c r="C18" s="19">
        <v>2000</v>
      </c>
      <c r="D18" s="19">
        <v>2000</v>
      </c>
    </row>
    <row r="19" spans="1:4" x14ac:dyDescent="0.35">
      <c r="A19" s="19" t="s">
        <v>113</v>
      </c>
      <c r="B19" s="19"/>
      <c r="C19" s="19">
        <v>511.51100000000002</v>
      </c>
      <c r="D19" s="19">
        <v>511.51100000000002</v>
      </c>
    </row>
    <row r="20" spans="1:4" x14ac:dyDescent="0.35">
      <c r="A20" s="20" t="s">
        <v>114</v>
      </c>
      <c r="B20" s="20"/>
      <c r="C20" s="20">
        <v>3.9049999999999998</v>
      </c>
      <c r="D20" s="20"/>
    </row>
    <row r="21" spans="1:4" x14ac:dyDescent="0.35">
      <c r="A21" s="20" t="s">
        <v>115</v>
      </c>
      <c r="B21" s="20"/>
      <c r="C21" s="20">
        <v>3.069</v>
      </c>
      <c r="D21" s="20"/>
    </row>
    <row r="22" spans="1:4" x14ac:dyDescent="0.35">
      <c r="A22" s="19" t="s">
        <v>116</v>
      </c>
      <c r="B22" s="19"/>
      <c r="C22" s="19">
        <v>167</v>
      </c>
      <c r="D22" s="19">
        <v>167</v>
      </c>
    </row>
    <row r="23" spans="1:4" x14ac:dyDescent="0.35">
      <c r="A23" s="21"/>
      <c r="B23" s="21"/>
      <c r="C23" s="21"/>
      <c r="D23" s="21"/>
    </row>
    <row r="24" spans="1:4" x14ac:dyDescent="0.35">
      <c r="A24" s="21"/>
      <c r="B24" s="21"/>
      <c r="C24" s="21"/>
      <c r="D24" s="21"/>
    </row>
    <row r="25" spans="1:4" x14ac:dyDescent="0.35">
      <c r="A25" s="20" t="s">
        <v>117</v>
      </c>
      <c r="B25" s="20"/>
      <c r="C25" s="20">
        <v>61000</v>
      </c>
      <c r="D25" s="20">
        <v>61000</v>
      </c>
    </row>
    <row r="26" spans="1:4" x14ac:dyDescent="0.35">
      <c r="A26" s="21"/>
      <c r="B26" s="21"/>
      <c r="C26" s="21"/>
      <c r="D26" s="21"/>
    </row>
    <row r="27" spans="1:4" x14ac:dyDescent="0.35">
      <c r="A27" s="20" t="s">
        <v>118</v>
      </c>
      <c r="B27" s="20"/>
      <c r="C27" s="20">
        <v>61000</v>
      </c>
      <c r="D27" s="20">
        <v>61000</v>
      </c>
    </row>
    <row r="28" spans="1:4" x14ac:dyDescent="0.35">
      <c r="A28" s="22" t="s">
        <v>119</v>
      </c>
      <c r="B28" s="22"/>
      <c r="C28" s="22">
        <v>1220</v>
      </c>
      <c r="D28" s="22">
        <v>1220</v>
      </c>
    </row>
    <row r="29" spans="1:4" x14ac:dyDescent="0.35">
      <c r="A29" s="22" t="s">
        <v>120</v>
      </c>
      <c r="B29" s="22"/>
      <c r="C29" s="22">
        <v>5000</v>
      </c>
      <c r="D29" s="22">
        <v>5000</v>
      </c>
    </row>
    <row r="30" spans="1:4" x14ac:dyDescent="0.35">
      <c r="A30" s="21"/>
      <c r="B30" s="21"/>
      <c r="C30" s="21"/>
      <c r="D30" s="21"/>
    </row>
    <row r="31" spans="1:4" x14ac:dyDescent="0.35">
      <c r="A31" s="21"/>
      <c r="B31" s="21"/>
      <c r="C31" s="21"/>
      <c r="D31" s="21"/>
    </row>
    <row r="32" spans="1:4" x14ac:dyDescent="0.35">
      <c r="A32" s="23" t="s">
        <v>121</v>
      </c>
      <c r="B32" s="23">
        <v>1.4999999999999999E-2</v>
      </c>
      <c r="C32" s="23">
        <v>1570</v>
      </c>
      <c r="D32" s="23">
        <v>1330.7</v>
      </c>
    </row>
    <row r="33" spans="1:4" x14ac:dyDescent="0.35">
      <c r="A33" s="20" t="s">
        <v>122</v>
      </c>
      <c r="B33" s="20"/>
      <c r="C33" s="20">
        <v>68790</v>
      </c>
      <c r="D33" s="20"/>
    </row>
    <row r="34" spans="1:4" x14ac:dyDescent="0.35">
      <c r="A34" s="24" t="s">
        <v>123</v>
      </c>
      <c r="B34" s="24">
        <v>500</v>
      </c>
      <c r="C34" s="24">
        <v>7630.37</v>
      </c>
      <c r="D34" s="24"/>
    </row>
    <row r="35" spans="1:4" x14ac:dyDescent="0.35">
      <c r="A35" s="24" t="s">
        <v>124</v>
      </c>
      <c r="B35" s="24">
        <v>275</v>
      </c>
      <c r="C35" s="24">
        <v>4139.3100000000004</v>
      </c>
      <c r="D35" s="24"/>
    </row>
    <row r="36" spans="1:4" x14ac:dyDescent="0.35">
      <c r="A36" s="25" t="s">
        <v>125</v>
      </c>
      <c r="B36" s="25"/>
      <c r="C36" s="25">
        <v>80559.789999999994</v>
      </c>
      <c r="D36" s="25"/>
    </row>
    <row r="37" spans="1:4" x14ac:dyDescent="0.35">
      <c r="A37" s="26" t="s">
        <v>126</v>
      </c>
      <c r="B37" s="26"/>
      <c r="C37" s="26">
        <v>8147</v>
      </c>
      <c r="D37" s="26">
        <v>7097.09</v>
      </c>
    </row>
    <row r="38" spans="1:4" x14ac:dyDescent="0.35">
      <c r="A38" s="19" t="s">
        <v>127</v>
      </c>
      <c r="B38" s="19"/>
      <c r="C38" s="19">
        <v>88709</v>
      </c>
      <c r="D38" s="19">
        <v>88713.62</v>
      </c>
    </row>
    <row r="39" spans="1:4" x14ac:dyDescent="0.35">
      <c r="A39" s="20" t="s">
        <v>48</v>
      </c>
      <c r="B39" s="20"/>
      <c r="C39" s="20">
        <v>15967.62</v>
      </c>
      <c r="D39" s="20">
        <v>15968.45</v>
      </c>
    </row>
    <row r="40" spans="1:4" x14ac:dyDescent="0.35">
      <c r="A40" s="20" t="s">
        <v>128</v>
      </c>
      <c r="B40" s="20"/>
      <c r="C40" s="20">
        <v>104676.62</v>
      </c>
      <c r="D40" s="20">
        <v>104682.07</v>
      </c>
    </row>
    <row r="41" spans="1:4" x14ac:dyDescent="0.35">
      <c r="A41" s="23" t="s">
        <v>121</v>
      </c>
      <c r="B41" s="23">
        <v>1.4999999999999999E-2</v>
      </c>
      <c r="C41" s="23">
        <v>1570.11</v>
      </c>
      <c r="D41" s="23"/>
    </row>
    <row r="42" spans="1:4" x14ac:dyDescent="0.35">
      <c r="A42" s="20" t="s">
        <v>129</v>
      </c>
      <c r="B42" s="20"/>
      <c r="C42" s="20">
        <v>45378000</v>
      </c>
      <c r="D42" s="20">
        <v>45378000</v>
      </c>
    </row>
    <row r="43" spans="1:4" x14ac:dyDescent="0.35">
      <c r="A43" s="21"/>
      <c r="B43" s="21"/>
      <c r="C43" s="21"/>
      <c r="D43" s="21"/>
    </row>
    <row r="44" spans="1:4" x14ac:dyDescent="0.35">
      <c r="A44" s="20" t="s">
        <v>130</v>
      </c>
      <c r="B44" s="20"/>
      <c r="C44" s="20">
        <v>17593</v>
      </c>
      <c r="D44" s="20"/>
    </row>
    <row r="45" spans="1:4" x14ac:dyDescent="0.35">
      <c r="A45" s="20" t="s">
        <v>131</v>
      </c>
      <c r="B45" s="20">
        <v>500</v>
      </c>
      <c r="C45" s="20">
        <v>1952</v>
      </c>
      <c r="D45" s="20"/>
    </row>
    <row r="46" spans="1:4" x14ac:dyDescent="0.35">
      <c r="A46" s="20" t="s">
        <v>132</v>
      </c>
      <c r="B46" s="20">
        <v>275</v>
      </c>
      <c r="C46" s="20">
        <v>1059</v>
      </c>
      <c r="D46" s="20"/>
    </row>
    <row r="47" spans="1:4" x14ac:dyDescent="0.35">
      <c r="A47" s="20" t="s">
        <v>133</v>
      </c>
      <c r="B47" s="20"/>
      <c r="C47" s="20">
        <v>2084</v>
      </c>
      <c r="D47" s="20"/>
    </row>
    <row r="48" spans="1:4" x14ac:dyDescent="0.35">
      <c r="A48" s="19" t="s">
        <v>134</v>
      </c>
      <c r="B48" s="19"/>
      <c r="C48" s="19">
        <v>22689</v>
      </c>
      <c r="D48" s="19">
        <v>22689</v>
      </c>
    </row>
    <row r="49" spans="1:4" x14ac:dyDescent="0.35">
      <c r="A49" s="19" t="s">
        <v>129</v>
      </c>
      <c r="B49" s="19"/>
      <c r="C49" s="19">
        <v>45378000</v>
      </c>
      <c r="D49" s="19">
        <v>45378000</v>
      </c>
    </row>
  </sheetData>
  <sheetProtection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topLeftCell="A4" workbookViewId="0">
      <selection activeCell="H15" sqref="H15"/>
    </sheetView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135</v>
      </c>
      <c r="C5" t="s">
        <v>136</v>
      </c>
      <c r="G5" t="s">
        <v>137</v>
      </c>
    </row>
    <row r="7" spans="1:8" x14ac:dyDescent="0.35">
      <c r="A7" t="s">
        <v>138</v>
      </c>
      <c r="C7" t="s">
        <v>901</v>
      </c>
    </row>
    <row r="8" spans="1:8" x14ac:dyDescent="0.35">
      <c r="A8" t="s">
        <v>139</v>
      </c>
      <c r="C8" t="s">
        <v>140</v>
      </c>
    </row>
    <row r="9" spans="1:8" x14ac:dyDescent="0.35">
      <c r="A9" t="s">
        <v>141</v>
      </c>
      <c r="C9" t="s">
        <v>142</v>
      </c>
    </row>
    <row r="10" spans="1:8" x14ac:dyDescent="0.35">
      <c r="A10" s="15" t="s">
        <v>143</v>
      </c>
      <c r="B10" s="15" t="s">
        <v>144</v>
      </c>
      <c r="C10" s="15" t="s">
        <v>145</v>
      </c>
      <c r="D10" s="15" t="s">
        <v>146</v>
      </c>
      <c r="E10" s="15"/>
      <c r="F10" s="15" t="s">
        <v>66</v>
      </c>
      <c r="G10" s="15" t="s">
        <v>147</v>
      </c>
      <c r="H10" s="15" t="s">
        <v>148</v>
      </c>
    </row>
    <row r="11" spans="1:8" x14ac:dyDescent="0.35">
      <c r="A11" s="14"/>
      <c r="B11" s="14"/>
      <c r="C11" s="14"/>
      <c r="D11" s="14" t="s">
        <v>149</v>
      </c>
      <c r="E11" s="14" t="s">
        <v>150</v>
      </c>
      <c r="F11" s="14" t="s">
        <v>151</v>
      </c>
      <c r="G11" s="14" t="s">
        <v>152</v>
      </c>
      <c r="H11" s="14" t="s">
        <v>153</v>
      </c>
    </row>
    <row r="12" spans="1:8" x14ac:dyDescent="0.35">
      <c r="A12" s="21">
        <v>1</v>
      </c>
      <c r="B12" s="21" t="s">
        <v>102</v>
      </c>
      <c r="C12" s="21" t="s">
        <v>154</v>
      </c>
      <c r="D12" s="21">
        <v>1243</v>
      </c>
      <c r="E12" s="21">
        <v>8.4</v>
      </c>
      <c r="F12" s="29">
        <v>2000</v>
      </c>
      <c r="G12" s="29">
        <v>22681</v>
      </c>
      <c r="H12" s="29">
        <v>45362000</v>
      </c>
    </row>
    <row r="13" spans="1:8" x14ac:dyDescent="0.35">
      <c r="A13" s="21">
        <v>2</v>
      </c>
      <c r="B13" s="21" t="s">
        <v>102</v>
      </c>
      <c r="C13" s="21" t="s">
        <v>154</v>
      </c>
      <c r="D13" s="21">
        <v>1317</v>
      </c>
      <c r="E13" s="21">
        <v>8.4</v>
      </c>
      <c r="F13" s="29">
        <v>350</v>
      </c>
      <c r="G13" s="29">
        <v>23914</v>
      </c>
      <c r="H13" s="29">
        <v>8369900</v>
      </c>
    </row>
    <row r="14" spans="1:8" x14ac:dyDescent="0.35">
      <c r="A14" s="21">
        <v>3</v>
      </c>
      <c r="B14" s="21" t="s">
        <v>102</v>
      </c>
      <c r="C14" s="21" t="s">
        <v>154</v>
      </c>
      <c r="D14" s="21">
        <v>1367</v>
      </c>
      <c r="E14" s="21">
        <v>8.4</v>
      </c>
      <c r="F14" s="29">
        <v>500</v>
      </c>
      <c r="G14" s="29">
        <v>24748</v>
      </c>
      <c r="H14" s="29">
        <v>12374000</v>
      </c>
    </row>
    <row r="15" spans="1:8" x14ac:dyDescent="0.35">
      <c r="A15" s="21">
        <v>4</v>
      </c>
      <c r="B15" s="21" t="s">
        <v>102</v>
      </c>
      <c r="C15" s="21" t="s">
        <v>154</v>
      </c>
      <c r="D15" s="21">
        <v>1417</v>
      </c>
      <c r="E15" s="21">
        <v>8.4</v>
      </c>
      <c r="F15" s="29">
        <v>4400</v>
      </c>
      <c r="G15" s="29">
        <v>25580</v>
      </c>
      <c r="H15" s="29">
        <v>112552000</v>
      </c>
    </row>
    <row r="16" spans="1:8" x14ac:dyDescent="0.35">
      <c r="A16" s="19" t="s">
        <v>155</v>
      </c>
      <c r="B16" s="19"/>
      <c r="C16" s="19"/>
      <c r="D16" s="19"/>
      <c r="E16" s="19"/>
      <c r="F16" s="30">
        <v>7250</v>
      </c>
      <c r="G16" s="19"/>
      <c r="H16" s="30">
        <v>178657900</v>
      </c>
    </row>
    <row r="17" spans="1:8" x14ac:dyDescent="0.35">
      <c r="A17" s="27" t="s">
        <v>156</v>
      </c>
    </row>
    <row r="18" spans="1:8" x14ac:dyDescent="0.35">
      <c r="A18" t="s">
        <v>157</v>
      </c>
    </row>
    <row r="19" spans="1:8" x14ac:dyDescent="0.35">
      <c r="A19" s="13" t="s">
        <v>158</v>
      </c>
      <c r="B19" s="13"/>
      <c r="C19" s="13"/>
      <c r="D19" s="13"/>
      <c r="E19" s="13"/>
      <c r="F19" s="13"/>
      <c r="G19" s="13"/>
      <c r="H19" s="13"/>
    </row>
    <row r="20" spans="1:8" ht="72.5" customHeight="1" x14ac:dyDescent="0.35">
      <c r="A20" s="10" t="s">
        <v>159</v>
      </c>
      <c r="C20" s="28" t="s">
        <v>941</v>
      </c>
    </row>
    <row r="21" spans="1:8" x14ac:dyDescent="0.35">
      <c r="A21" s="10" t="s">
        <v>160</v>
      </c>
      <c r="C21" t="s">
        <v>161</v>
      </c>
    </row>
    <row r="22" spans="1:8" x14ac:dyDescent="0.35">
      <c r="A22" s="10" t="s">
        <v>162</v>
      </c>
      <c r="C22" t="s">
        <v>163</v>
      </c>
    </row>
    <row r="23" spans="1:8" x14ac:dyDescent="0.35">
      <c r="A23" s="10" t="s">
        <v>56</v>
      </c>
      <c r="C23" t="s">
        <v>164</v>
      </c>
    </row>
    <row r="24" spans="1:8" x14ac:dyDescent="0.35">
      <c r="A24" s="10" t="s">
        <v>165</v>
      </c>
      <c r="C24" t="s">
        <v>166</v>
      </c>
    </row>
    <row r="25" spans="1:8" x14ac:dyDescent="0.35">
      <c r="A25" s="10" t="s">
        <v>167</v>
      </c>
      <c r="C25" t="s">
        <v>168</v>
      </c>
    </row>
    <row r="26" spans="1:8" x14ac:dyDescent="0.35">
      <c r="A26" s="10" t="s">
        <v>169</v>
      </c>
      <c r="C26" t="s">
        <v>170</v>
      </c>
    </row>
    <row r="27" spans="1:8" x14ac:dyDescent="0.35">
      <c r="A27" s="10" t="s">
        <v>171</v>
      </c>
      <c r="C27" t="s">
        <v>172</v>
      </c>
    </row>
    <row r="28" spans="1:8" x14ac:dyDescent="0.35">
      <c r="A28" s="10" t="s">
        <v>173</v>
      </c>
      <c r="C28" t="s">
        <v>174</v>
      </c>
    </row>
    <row r="29" spans="1:8" x14ac:dyDescent="0.35">
      <c r="A29" s="10" t="s">
        <v>175</v>
      </c>
      <c r="C29" t="s">
        <v>176</v>
      </c>
    </row>
    <row r="30" spans="1:8" x14ac:dyDescent="0.35">
      <c r="A30" s="10" t="s">
        <v>177</v>
      </c>
      <c r="C30" t="s">
        <v>178</v>
      </c>
    </row>
    <row r="31" spans="1:8" x14ac:dyDescent="0.35">
      <c r="A31" s="10" t="s">
        <v>179</v>
      </c>
      <c r="C31" t="s">
        <v>180</v>
      </c>
    </row>
    <row r="32" spans="1:8" x14ac:dyDescent="0.35">
      <c r="A32" s="10" t="s">
        <v>181</v>
      </c>
      <c r="C32" t="s">
        <v>182</v>
      </c>
    </row>
    <row r="33" spans="1:3" x14ac:dyDescent="0.35">
      <c r="A33" s="10" t="s">
        <v>183</v>
      </c>
      <c r="C33" t="s">
        <v>184</v>
      </c>
    </row>
    <row r="34" spans="1:3" x14ac:dyDescent="0.35">
      <c r="A34" s="10" t="s">
        <v>185</v>
      </c>
      <c r="C34" t="s">
        <v>186</v>
      </c>
    </row>
    <row r="35" spans="1:3" x14ac:dyDescent="0.35">
      <c r="A35" s="10" t="s">
        <v>187</v>
      </c>
      <c r="C35" t="s">
        <v>188</v>
      </c>
    </row>
    <row r="36" spans="1:3" x14ac:dyDescent="0.35">
      <c r="A36" s="10" t="s">
        <v>189</v>
      </c>
      <c r="C36" t="s">
        <v>190</v>
      </c>
    </row>
    <row r="37" spans="1:3" x14ac:dyDescent="0.35">
      <c r="A37" s="10" t="s">
        <v>191</v>
      </c>
      <c r="C37" t="s">
        <v>192</v>
      </c>
    </row>
    <row r="38" spans="1:3" x14ac:dyDescent="0.35">
      <c r="A38" s="10" t="s">
        <v>68</v>
      </c>
      <c r="C38" t="s">
        <v>193</v>
      </c>
    </row>
    <row r="39" spans="1:3" x14ac:dyDescent="0.35">
      <c r="A39" s="10" t="s">
        <v>194</v>
      </c>
      <c r="C39" t="s">
        <v>195</v>
      </c>
    </row>
    <row r="40" spans="1:3" x14ac:dyDescent="0.35">
      <c r="A40" s="10" t="s">
        <v>196</v>
      </c>
      <c r="C40" t="s">
        <v>197</v>
      </c>
    </row>
    <row r="41" spans="1:3" x14ac:dyDescent="0.35">
      <c r="A41" s="10" t="s">
        <v>198</v>
      </c>
      <c r="C41" t="s">
        <v>199</v>
      </c>
    </row>
    <row r="42" spans="1:3" x14ac:dyDescent="0.35">
      <c r="A42" s="10" t="s">
        <v>200</v>
      </c>
      <c r="C42" t="s">
        <v>201</v>
      </c>
    </row>
    <row r="43" spans="1:3" x14ac:dyDescent="0.35">
      <c r="A43" s="10" t="s">
        <v>202</v>
      </c>
      <c r="C43" t="s">
        <v>203</v>
      </c>
    </row>
    <row r="44" spans="1:3" x14ac:dyDescent="0.35">
      <c r="A44" s="10" t="s">
        <v>204</v>
      </c>
      <c r="C44" t="s">
        <v>205</v>
      </c>
    </row>
    <row r="45" spans="1:3" x14ac:dyDescent="0.35">
      <c r="A45" s="10" t="s">
        <v>206</v>
      </c>
      <c r="C45" t="s">
        <v>207</v>
      </c>
    </row>
    <row r="46" spans="1:3" x14ac:dyDescent="0.35">
      <c r="A46" s="10" t="s">
        <v>208</v>
      </c>
      <c r="C46" t="s">
        <v>209</v>
      </c>
    </row>
    <row r="49" spans="1:1" x14ac:dyDescent="0.35">
      <c r="A49" s="10" t="s">
        <v>210</v>
      </c>
    </row>
    <row r="53" spans="1:1" x14ac:dyDescent="0.35">
      <c r="A53" s="10" t="s">
        <v>211</v>
      </c>
    </row>
  </sheetData>
  <sheetProtection formatCells="0" formatColumns="0" formatRows="0" sort="0" autoFilter="0"/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1" customWidth="1"/>
    <col min="2" max="2" width="42.7265625" style="1" customWidth="1"/>
    <col min="3" max="3" width="17.36328125" style="1" customWidth="1"/>
    <col min="4" max="4" width="16.7265625" style="1" customWidth="1"/>
    <col min="5" max="5" width="18.7265625" style="1" customWidth="1"/>
    <col min="6" max="6" width="12.7265625" style="1" customWidth="1"/>
    <col min="7" max="7" width="28.7265625" style="1" customWidth="1"/>
    <col min="8" max="8" width="20.7265625" style="1" customWidth="1"/>
    <col min="9" max="9" width="12.7265625" style="1" customWidth="1"/>
    <col min="10" max="10" width="8.7265625" style="1" customWidth="1"/>
    <col min="11" max="16384" width="8.7265625" style="1"/>
  </cols>
  <sheetData>
    <row r="1" spans="1:34" ht="21" customHeight="1" x14ac:dyDescent="0.5">
      <c r="A1" s="2" t="s">
        <v>212</v>
      </c>
      <c r="AA1" s="1" t="s">
        <v>213</v>
      </c>
      <c r="AB1" s="1" t="s">
        <v>214</v>
      </c>
      <c r="AC1" s="1" t="s">
        <v>215</v>
      </c>
      <c r="AD1" s="1" t="s">
        <v>216</v>
      </c>
      <c r="AE1" s="1" t="s">
        <v>217</v>
      </c>
      <c r="AF1" s="1" t="s">
        <v>944</v>
      </c>
      <c r="AG1" s="1" t="s">
        <v>846</v>
      </c>
      <c r="AH1" s="1" t="s">
        <v>847</v>
      </c>
    </row>
    <row r="2" spans="1:34" x14ac:dyDescent="0.35">
      <c r="AA2" s="1" t="s">
        <v>218</v>
      </c>
      <c r="AB2" s="1" t="s">
        <v>97</v>
      </c>
      <c r="AC2" s="1" t="s">
        <v>98</v>
      </c>
      <c r="AD2" s="1" t="s">
        <v>219</v>
      </c>
      <c r="AE2" s="1" t="s">
        <v>220</v>
      </c>
      <c r="AF2" s="1">
        <v>1226</v>
      </c>
      <c r="AG2" s="1">
        <v>6.4</v>
      </c>
      <c r="AH2" s="1" t="s">
        <v>333</v>
      </c>
    </row>
    <row r="3" spans="1:34" x14ac:dyDescent="0.35">
      <c r="A3" s="3" t="s">
        <v>221</v>
      </c>
      <c r="B3" s="3" t="s">
        <v>222</v>
      </c>
      <c r="C3" s="3" t="s">
        <v>223</v>
      </c>
      <c r="D3" s="3" t="s">
        <v>146</v>
      </c>
      <c r="AA3" s="1" t="s">
        <v>224</v>
      </c>
      <c r="AB3" s="1" t="s">
        <v>225</v>
      </c>
      <c r="AC3" s="1" t="s">
        <v>226</v>
      </c>
      <c r="AD3" s="1" t="s">
        <v>227</v>
      </c>
      <c r="AE3" s="1" t="s">
        <v>228</v>
      </c>
      <c r="AF3" s="1">
        <v>1300</v>
      </c>
      <c r="AG3" s="1">
        <v>7.1</v>
      </c>
      <c r="AH3" s="1" t="s">
        <v>334</v>
      </c>
    </row>
    <row r="4" spans="1:34" x14ac:dyDescent="0.35">
      <c r="A4" s="1" t="s">
        <v>229</v>
      </c>
      <c r="B4" s="1" t="s">
        <v>230</v>
      </c>
      <c r="C4" s="1" t="s">
        <v>79</v>
      </c>
      <c r="D4" s="1" t="s">
        <v>231</v>
      </c>
      <c r="AA4" s="1" t="s">
        <v>232</v>
      </c>
      <c r="AD4" s="1" t="s">
        <v>233</v>
      </c>
      <c r="AE4" s="1" t="s">
        <v>219</v>
      </c>
      <c r="AF4" s="1">
        <v>1350</v>
      </c>
      <c r="AG4" s="1">
        <v>7.9</v>
      </c>
      <c r="AH4" s="1" t="s">
        <v>335</v>
      </c>
    </row>
    <row r="5" spans="1:34" x14ac:dyDescent="0.35">
      <c r="A5" s="1" t="s">
        <v>234</v>
      </c>
      <c r="B5" s="1" t="s">
        <v>235</v>
      </c>
      <c r="C5" s="1" t="s">
        <v>236</v>
      </c>
      <c r="D5" s="1" t="s">
        <v>237</v>
      </c>
      <c r="AA5" s="1" t="s">
        <v>238</v>
      </c>
      <c r="AD5" s="1" t="s">
        <v>239</v>
      </c>
      <c r="AE5" s="1" t="s">
        <v>240</v>
      </c>
      <c r="AF5" s="1">
        <v>1400</v>
      </c>
      <c r="AG5" s="1">
        <v>8.4</v>
      </c>
      <c r="AH5" s="1" t="s">
        <v>336</v>
      </c>
    </row>
    <row r="6" spans="1:34" x14ac:dyDescent="0.35">
      <c r="A6" s="1" t="s">
        <v>62</v>
      </c>
      <c r="B6" s="1" t="s">
        <v>241</v>
      </c>
      <c r="C6" s="1" t="s">
        <v>242</v>
      </c>
      <c r="D6" s="1" t="s">
        <v>243</v>
      </c>
      <c r="AD6" s="1" t="s">
        <v>244</v>
      </c>
      <c r="AE6" s="1" t="s">
        <v>245</v>
      </c>
      <c r="AG6" s="1">
        <v>9.5</v>
      </c>
      <c r="AH6" s="1" t="s">
        <v>337</v>
      </c>
    </row>
    <row r="7" spans="1:34" x14ac:dyDescent="0.35">
      <c r="A7" s="1" t="s">
        <v>246</v>
      </c>
      <c r="B7" s="1" t="s">
        <v>247</v>
      </c>
      <c r="C7" s="1" t="s">
        <v>82</v>
      </c>
      <c r="D7" s="1" t="s">
        <v>248</v>
      </c>
      <c r="AD7" s="1" t="s">
        <v>240</v>
      </c>
      <c r="AG7" s="1">
        <v>11.1</v>
      </c>
      <c r="AH7" s="1" t="s">
        <v>338</v>
      </c>
    </row>
    <row r="8" spans="1:34" x14ac:dyDescent="0.35">
      <c r="A8" s="1" t="s">
        <v>249</v>
      </c>
      <c r="B8" s="1" t="s">
        <v>250</v>
      </c>
      <c r="C8" s="1" t="s">
        <v>251</v>
      </c>
      <c r="D8" s="1" t="s">
        <v>252</v>
      </c>
      <c r="AG8" s="1">
        <v>12.7</v>
      </c>
      <c r="AH8" s="1" t="s">
        <v>339</v>
      </c>
    </row>
    <row r="9" spans="1:34" x14ac:dyDescent="0.35">
      <c r="A9" s="1" t="s">
        <v>253</v>
      </c>
      <c r="B9" s="1" t="s">
        <v>254</v>
      </c>
      <c r="C9" s="1" t="s">
        <v>251</v>
      </c>
      <c r="D9" s="1" t="s">
        <v>255</v>
      </c>
      <c r="AG9" s="1">
        <v>15.9</v>
      </c>
      <c r="AH9" s="1" t="s">
        <v>340</v>
      </c>
    </row>
    <row r="10" spans="1:34" x14ac:dyDescent="0.35">
      <c r="A10" s="1" t="s">
        <v>256</v>
      </c>
      <c r="B10" s="1" t="s">
        <v>257</v>
      </c>
      <c r="C10" s="1" t="s">
        <v>95</v>
      </c>
      <c r="D10" s="1" t="s">
        <v>258</v>
      </c>
      <c r="AG10" s="1">
        <v>19.100000000000001</v>
      </c>
      <c r="AH10" s="1" t="s">
        <v>341</v>
      </c>
    </row>
    <row r="11" spans="1:34" x14ac:dyDescent="0.35">
      <c r="A11" s="1" t="s">
        <v>259</v>
      </c>
      <c r="B11" s="1" t="s">
        <v>260</v>
      </c>
      <c r="C11" s="1" t="s">
        <v>261</v>
      </c>
      <c r="D11" s="1" t="s">
        <v>262</v>
      </c>
      <c r="AG11" s="1">
        <v>25.4</v>
      </c>
      <c r="AH11" s="1" t="s">
        <v>342</v>
      </c>
    </row>
    <row r="12" spans="1:34" x14ac:dyDescent="0.35">
      <c r="A12" s="1" t="s">
        <v>56</v>
      </c>
      <c r="B12" s="1" t="s">
        <v>263</v>
      </c>
      <c r="C12" s="1" t="s">
        <v>264</v>
      </c>
      <c r="D12" s="1" t="s">
        <v>265</v>
      </c>
      <c r="AH12" s="1" t="s">
        <v>344</v>
      </c>
    </row>
    <row r="13" spans="1:34" x14ac:dyDescent="0.35">
      <c r="A13" s="1" t="s">
        <v>266</v>
      </c>
      <c r="B13" s="1" t="s">
        <v>267</v>
      </c>
      <c r="C13" s="1" t="s">
        <v>268</v>
      </c>
      <c r="D13" s="1" t="s">
        <v>269</v>
      </c>
      <c r="AH13" s="1" t="s">
        <v>346</v>
      </c>
    </row>
    <row r="14" spans="1:34" x14ac:dyDescent="0.35">
      <c r="AH14" s="1" t="s">
        <v>348</v>
      </c>
    </row>
    <row r="17" spans="1:9" x14ac:dyDescent="0.35">
      <c r="A17" s="1" t="s">
        <v>79</v>
      </c>
      <c r="B17" s="1" t="s">
        <v>270</v>
      </c>
      <c r="C17" s="1" t="s">
        <v>60</v>
      </c>
      <c r="D17" s="1" t="s">
        <v>271</v>
      </c>
      <c r="E17" s="1" t="s">
        <v>272</v>
      </c>
      <c r="F17" s="1" t="s">
        <v>273</v>
      </c>
      <c r="G17" s="1" t="s">
        <v>274</v>
      </c>
      <c r="H17" s="1" t="s">
        <v>275</v>
      </c>
      <c r="I17" s="1" t="s">
        <v>276</v>
      </c>
    </row>
    <row r="18" spans="1:9" x14ac:dyDescent="0.35">
      <c r="A18" s="1" t="s">
        <v>15</v>
      </c>
      <c r="B18" s="1" t="s">
        <v>218</v>
      </c>
      <c r="C18" s="1" t="s">
        <v>97</v>
      </c>
      <c r="D18" s="1" t="s">
        <v>277</v>
      </c>
      <c r="E18" s="1" t="s">
        <v>277</v>
      </c>
      <c r="I18" s="1" t="s">
        <v>278</v>
      </c>
    </row>
    <row r="19" spans="1:9" x14ac:dyDescent="0.35">
      <c r="A19" s="1" t="s">
        <v>17</v>
      </c>
      <c r="B19" s="1" t="s">
        <v>224</v>
      </c>
      <c r="C19" s="1" t="s">
        <v>97</v>
      </c>
      <c r="D19" s="1" t="s">
        <v>278</v>
      </c>
      <c r="E19" s="1" t="s">
        <v>279</v>
      </c>
      <c r="I19" s="1" t="s">
        <v>278</v>
      </c>
    </row>
    <row r="20" spans="1:9" x14ac:dyDescent="0.35">
      <c r="A20" s="1" t="s">
        <v>280</v>
      </c>
      <c r="B20" s="1" t="s">
        <v>232</v>
      </c>
      <c r="C20" s="1" t="s">
        <v>225</v>
      </c>
      <c r="D20" s="1" t="s">
        <v>277</v>
      </c>
      <c r="E20" s="1" t="s">
        <v>277</v>
      </c>
      <c r="I20" s="1" t="s">
        <v>278</v>
      </c>
    </row>
    <row r="21" spans="1:9" x14ac:dyDescent="0.35">
      <c r="A21" s="1" t="s">
        <v>281</v>
      </c>
      <c r="B21" s="1" t="s">
        <v>238</v>
      </c>
      <c r="C21" s="1" t="s">
        <v>225</v>
      </c>
      <c r="D21" s="1" t="s">
        <v>278</v>
      </c>
      <c r="E21" s="1" t="s">
        <v>279</v>
      </c>
      <c r="I21" s="1" t="s">
        <v>278</v>
      </c>
    </row>
    <row r="24" spans="1:9" x14ac:dyDescent="0.35">
      <c r="A24" s="1" t="s">
        <v>236</v>
      </c>
      <c r="B24" s="1" t="s">
        <v>60</v>
      </c>
      <c r="C24" s="1" t="s">
        <v>61</v>
      </c>
      <c r="D24" s="1" t="s">
        <v>80</v>
      </c>
      <c r="E24" s="1" t="s">
        <v>276</v>
      </c>
      <c r="F24" s="1" t="s">
        <v>282</v>
      </c>
      <c r="G24" s="1" t="s">
        <v>283</v>
      </c>
    </row>
    <row r="25" spans="1:9" x14ac:dyDescent="0.35">
      <c r="A25" s="1" t="s">
        <v>284</v>
      </c>
      <c r="B25" s="1" t="s">
        <v>97</v>
      </c>
      <c r="C25" s="1" t="s">
        <v>98</v>
      </c>
      <c r="D25" s="1">
        <v>1226</v>
      </c>
      <c r="E25" s="1" t="s">
        <v>278</v>
      </c>
      <c r="F25" s="1" t="s">
        <v>277</v>
      </c>
    </row>
    <row r="26" spans="1:9" x14ac:dyDescent="0.35">
      <c r="A26" s="1" t="s">
        <v>285</v>
      </c>
      <c r="B26" s="1" t="s">
        <v>97</v>
      </c>
      <c r="C26" s="1" t="s">
        <v>98</v>
      </c>
      <c r="D26" s="1">
        <v>1300</v>
      </c>
      <c r="E26" s="1" t="s">
        <v>278</v>
      </c>
      <c r="F26" s="1" t="s">
        <v>277</v>
      </c>
    </row>
    <row r="27" spans="1:9" x14ac:dyDescent="0.35">
      <c r="A27" s="1" t="s">
        <v>286</v>
      </c>
      <c r="B27" s="1" t="s">
        <v>97</v>
      </c>
      <c r="C27" s="1" t="s">
        <v>98</v>
      </c>
      <c r="D27" s="1">
        <v>1350</v>
      </c>
      <c r="E27" s="1" t="s">
        <v>278</v>
      </c>
      <c r="F27" s="1" t="s">
        <v>277</v>
      </c>
    </row>
    <row r="28" spans="1:9" x14ac:dyDescent="0.35">
      <c r="A28" s="1" t="s">
        <v>287</v>
      </c>
      <c r="B28" s="1" t="s">
        <v>97</v>
      </c>
      <c r="C28" s="1" t="s">
        <v>98</v>
      </c>
      <c r="D28" s="1">
        <v>1400</v>
      </c>
      <c r="E28" s="1" t="s">
        <v>278</v>
      </c>
      <c r="F28" s="1" t="s">
        <v>277</v>
      </c>
    </row>
    <row r="29" spans="1:9" x14ac:dyDescent="0.35">
      <c r="A29" s="1" t="s">
        <v>288</v>
      </c>
      <c r="B29" s="1" t="s">
        <v>97</v>
      </c>
      <c r="C29" s="1" t="s">
        <v>226</v>
      </c>
      <c r="D29" s="1">
        <v>457</v>
      </c>
      <c r="E29" s="1" t="s">
        <v>278</v>
      </c>
      <c r="F29" s="1" t="s">
        <v>277</v>
      </c>
    </row>
    <row r="30" spans="1:9" x14ac:dyDescent="0.35">
      <c r="A30" s="1" t="s">
        <v>289</v>
      </c>
      <c r="B30" s="1" t="s">
        <v>97</v>
      </c>
      <c r="C30" s="1" t="s">
        <v>226</v>
      </c>
      <c r="D30" s="1">
        <v>508</v>
      </c>
      <c r="E30" s="1" t="s">
        <v>278</v>
      </c>
      <c r="F30" s="1" t="s">
        <v>277</v>
      </c>
    </row>
    <row r="31" spans="1:9" x14ac:dyDescent="0.35">
      <c r="A31" s="1" t="s">
        <v>290</v>
      </c>
      <c r="B31" s="1" t="s">
        <v>97</v>
      </c>
      <c r="C31" s="1" t="s">
        <v>226</v>
      </c>
      <c r="D31" s="1">
        <v>610</v>
      </c>
      <c r="E31" s="1" t="s">
        <v>278</v>
      </c>
      <c r="F31" s="1" t="s">
        <v>277</v>
      </c>
    </row>
    <row r="32" spans="1:9" x14ac:dyDescent="0.35">
      <c r="A32" s="1" t="s">
        <v>291</v>
      </c>
      <c r="B32" s="1" t="s">
        <v>97</v>
      </c>
      <c r="C32" s="1" t="s">
        <v>226</v>
      </c>
      <c r="D32" s="1">
        <v>762</v>
      </c>
      <c r="E32" s="1" t="s">
        <v>278</v>
      </c>
      <c r="F32" s="1" t="s">
        <v>277</v>
      </c>
    </row>
    <row r="33" spans="1:6" x14ac:dyDescent="0.35">
      <c r="A33" s="1" t="s">
        <v>292</v>
      </c>
      <c r="B33" s="1" t="s">
        <v>97</v>
      </c>
      <c r="C33" s="1" t="s">
        <v>226</v>
      </c>
      <c r="D33" s="1">
        <v>914</v>
      </c>
      <c r="E33" s="1" t="s">
        <v>278</v>
      </c>
      <c r="F33" s="1" t="s">
        <v>277</v>
      </c>
    </row>
    <row r="34" spans="1:6" x14ac:dyDescent="0.35">
      <c r="A34" s="1" t="s">
        <v>293</v>
      </c>
      <c r="B34" s="1" t="s">
        <v>97</v>
      </c>
      <c r="C34" s="1" t="s">
        <v>226</v>
      </c>
      <c r="D34" s="1">
        <v>1016</v>
      </c>
      <c r="E34" s="1" t="s">
        <v>278</v>
      </c>
      <c r="F34" s="1" t="s">
        <v>277</v>
      </c>
    </row>
    <row r="35" spans="1:6" x14ac:dyDescent="0.35">
      <c r="A35" s="1" t="s">
        <v>294</v>
      </c>
      <c r="B35" s="1" t="s">
        <v>97</v>
      </c>
      <c r="C35" s="1" t="s">
        <v>226</v>
      </c>
      <c r="D35" s="1">
        <v>1219</v>
      </c>
      <c r="E35" s="1" t="s">
        <v>278</v>
      </c>
      <c r="F35" s="1" t="s">
        <v>277</v>
      </c>
    </row>
    <row r="36" spans="1:6" x14ac:dyDescent="0.35">
      <c r="A36" s="1" t="s">
        <v>295</v>
      </c>
      <c r="B36" s="1" t="s">
        <v>97</v>
      </c>
      <c r="C36" s="1" t="s">
        <v>226</v>
      </c>
      <c r="D36" s="1">
        <v>1422</v>
      </c>
      <c r="E36" s="1" t="s">
        <v>278</v>
      </c>
      <c r="F36" s="1" t="s">
        <v>277</v>
      </c>
    </row>
    <row r="37" spans="1:6" x14ac:dyDescent="0.35">
      <c r="A37" s="1" t="s">
        <v>296</v>
      </c>
      <c r="B37" s="1" t="s">
        <v>97</v>
      </c>
      <c r="C37" s="1" t="s">
        <v>226</v>
      </c>
      <c r="D37" s="1">
        <v>1524</v>
      </c>
      <c r="E37" s="1" t="s">
        <v>278</v>
      </c>
      <c r="F37" s="1" t="s">
        <v>277</v>
      </c>
    </row>
    <row r="38" spans="1:6" x14ac:dyDescent="0.35">
      <c r="A38" s="1" t="s">
        <v>297</v>
      </c>
      <c r="B38" s="1" t="s">
        <v>97</v>
      </c>
      <c r="C38" s="1" t="s">
        <v>226</v>
      </c>
      <c r="D38" s="1">
        <v>1829</v>
      </c>
      <c r="E38" s="1" t="s">
        <v>278</v>
      </c>
      <c r="F38" s="1" t="s">
        <v>277</v>
      </c>
    </row>
    <row r="39" spans="1:6" x14ac:dyDescent="0.35">
      <c r="A39" s="1" t="s">
        <v>298</v>
      </c>
      <c r="B39" s="1" t="s">
        <v>97</v>
      </c>
      <c r="C39" s="1" t="s">
        <v>226</v>
      </c>
      <c r="D39" s="1">
        <v>2134</v>
      </c>
      <c r="E39" s="1" t="s">
        <v>278</v>
      </c>
      <c r="F39" s="1" t="s">
        <v>277</v>
      </c>
    </row>
    <row r="40" spans="1:6" x14ac:dyDescent="0.35">
      <c r="A40" s="1" t="s">
        <v>299</v>
      </c>
      <c r="B40" s="1" t="s">
        <v>97</v>
      </c>
      <c r="C40" s="1" t="s">
        <v>226</v>
      </c>
      <c r="D40" s="1">
        <v>2540</v>
      </c>
      <c r="E40" s="1" t="s">
        <v>278</v>
      </c>
      <c r="F40" s="1" t="s">
        <v>277</v>
      </c>
    </row>
    <row r="41" spans="1:6" x14ac:dyDescent="0.35">
      <c r="A41" s="1" t="s">
        <v>300</v>
      </c>
      <c r="B41" s="1" t="s">
        <v>225</v>
      </c>
      <c r="C41" s="1" t="s">
        <v>226</v>
      </c>
      <c r="D41" s="1">
        <v>168.3</v>
      </c>
      <c r="E41" s="1" t="s">
        <v>278</v>
      </c>
      <c r="F41" s="1" t="s">
        <v>277</v>
      </c>
    </row>
    <row r="42" spans="1:6" x14ac:dyDescent="0.35">
      <c r="A42" s="1" t="s">
        <v>301</v>
      </c>
      <c r="B42" s="1" t="s">
        <v>225</v>
      </c>
      <c r="C42" s="1" t="s">
        <v>226</v>
      </c>
      <c r="D42" s="1">
        <v>219.1</v>
      </c>
      <c r="E42" s="1" t="s">
        <v>278</v>
      </c>
      <c r="F42" s="1" t="s">
        <v>277</v>
      </c>
    </row>
    <row r="43" spans="1:6" x14ac:dyDescent="0.35">
      <c r="A43" s="1" t="s">
        <v>302</v>
      </c>
      <c r="B43" s="1" t="s">
        <v>225</v>
      </c>
      <c r="C43" s="1" t="s">
        <v>226</v>
      </c>
      <c r="D43" s="1">
        <v>273.10000000000002</v>
      </c>
      <c r="E43" s="1" t="s">
        <v>278</v>
      </c>
      <c r="F43" s="1" t="s">
        <v>277</v>
      </c>
    </row>
    <row r="44" spans="1:6" x14ac:dyDescent="0.35">
      <c r="A44" s="1" t="s">
        <v>303</v>
      </c>
      <c r="B44" s="1" t="s">
        <v>225</v>
      </c>
      <c r="C44" s="1" t="s">
        <v>226</v>
      </c>
      <c r="D44" s="1">
        <v>323.89999999999998</v>
      </c>
      <c r="E44" s="1" t="s">
        <v>278</v>
      </c>
      <c r="F44" s="1" t="s">
        <v>277</v>
      </c>
    </row>
    <row r="45" spans="1:6" x14ac:dyDescent="0.35">
      <c r="A45" s="1" t="s">
        <v>304</v>
      </c>
      <c r="B45" s="1" t="s">
        <v>225</v>
      </c>
      <c r="C45" s="1" t="s">
        <v>226</v>
      </c>
      <c r="D45" s="1">
        <v>355.6</v>
      </c>
      <c r="E45" s="1" t="s">
        <v>278</v>
      </c>
      <c r="F45" s="1" t="s">
        <v>277</v>
      </c>
    </row>
    <row r="46" spans="1:6" x14ac:dyDescent="0.35">
      <c r="A46" s="1" t="s">
        <v>305</v>
      </c>
      <c r="B46" s="1" t="s">
        <v>225</v>
      </c>
      <c r="C46" s="1" t="s">
        <v>226</v>
      </c>
      <c r="D46" s="1">
        <v>406.4</v>
      </c>
      <c r="E46" s="1" t="s">
        <v>278</v>
      </c>
      <c r="F46" s="1" t="s">
        <v>277</v>
      </c>
    </row>
    <row r="47" spans="1:6" x14ac:dyDescent="0.35">
      <c r="A47" s="1" t="s">
        <v>306</v>
      </c>
      <c r="B47" s="1" t="s">
        <v>225</v>
      </c>
      <c r="C47" s="1" t="s">
        <v>226</v>
      </c>
      <c r="D47" s="1">
        <v>457.2</v>
      </c>
      <c r="E47" s="1" t="s">
        <v>278</v>
      </c>
      <c r="F47" s="1" t="s">
        <v>277</v>
      </c>
    </row>
    <row r="48" spans="1:6" x14ac:dyDescent="0.35">
      <c r="A48" s="1" t="s">
        <v>307</v>
      </c>
      <c r="B48" s="1" t="s">
        <v>225</v>
      </c>
      <c r="C48" s="1" t="s">
        <v>226</v>
      </c>
      <c r="D48" s="1">
        <v>508</v>
      </c>
      <c r="E48" s="1" t="s">
        <v>278</v>
      </c>
      <c r="F48" s="1" t="s">
        <v>277</v>
      </c>
    </row>
    <row r="53" spans="1:6" x14ac:dyDescent="0.35">
      <c r="A53" s="1" t="s">
        <v>242</v>
      </c>
      <c r="B53" s="1" t="s">
        <v>60</v>
      </c>
      <c r="C53" s="1" t="s">
        <v>81</v>
      </c>
      <c r="D53" s="1" t="s">
        <v>308</v>
      </c>
      <c r="E53" s="1" t="s">
        <v>309</v>
      </c>
      <c r="F53" s="1" t="s">
        <v>276</v>
      </c>
    </row>
    <row r="54" spans="1:6" x14ac:dyDescent="0.35">
      <c r="A54" s="1" t="s">
        <v>99</v>
      </c>
      <c r="B54" s="1" t="s">
        <v>97</v>
      </c>
      <c r="C54" s="1">
        <v>6.4</v>
      </c>
      <c r="D54" s="1">
        <v>5</v>
      </c>
      <c r="E54" s="1">
        <v>25.4</v>
      </c>
      <c r="F54" s="1" t="s">
        <v>278</v>
      </c>
    </row>
    <row r="55" spans="1:6" x14ac:dyDescent="0.35">
      <c r="A55" s="1" t="s">
        <v>310</v>
      </c>
      <c r="B55" s="1" t="s">
        <v>97</v>
      </c>
      <c r="C55" s="1">
        <v>7.1</v>
      </c>
      <c r="D55" s="1">
        <v>5</v>
      </c>
      <c r="E55" s="1">
        <v>25.4</v>
      </c>
      <c r="F55" s="1" t="s">
        <v>278</v>
      </c>
    </row>
    <row r="56" spans="1:6" x14ac:dyDescent="0.35">
      <c r="A56" s="1" t="s">
        <v>311</v>
      </c>
      <c r="B56" s="1" t="s">
        <v>97</v>
      </c>
      <c r="C56" s="1">
        <v>7.9</v>
      </c>
      <c r="D56" s="1">
        <v>5</v>
      </c>
      <c r="E56" s="1">
        <v>25.4</v>
      </c>
      <c r="F56" s="1" t="s">
        <v>278</v>
      </c>
    </row>
    <row r="57" spans="1:6" x14ac:dyDescent="0.35">
      <c r="A57" s="1" t="s">
        <v>312</v>
      </c>
      <c r="B57" s="1" t="s">
        <v>97</v>
      </c>
      <c r="C57" s="1">
        <v>8.4</v>
      </c>
      <c r="D57" s="1">
        <v>5</v>
      </c>
      <c r="E57" s="1">
        <v>25.4</v>
      </c>
      <c r="F57" s="1" t="s">
        <v>278</v>
      </c>
    </row>
    <row r="58" spans="1:6" x14ac:dyDescent="0.35">
      <c r="A58" s="1" t="s">
        <v>313</v>
      </c>
      <c r="B58" s="1" t="s">
        <v>97</v>
      </c>
      <c r="C58" s="1">
        <v>9.5</v>
      </c>
      <c r="D58" s="1">
        <v>5</v>
      </c>
      <c r="E58" s="1">
        <v>25.4</v>
      </c>
      <c r="F58" s="1" t="s">
        <v>278</v>
      </c>
    </row>
    <row r="59" spans="1:6" x14ac:dyDescent="0.35">
      <c r="A59" s="1" t="s">
        <v>314</v>
      </c>
      <c r="B59" s="1" t="s">
        <v>97</v>
      </c>
      <c r="C59" s="1">
        <v>11.1</v>
      </c>
      <c r="D59" s="1">
        <v>5</v>
      </c>
      <c r="E59" s="1">
        <v>25.4</v>
      </c>
      <c r="F59" s="1" t="s">
        <v>278</v>
      </c>
    </row>
    <row r="60" spans="1:6" x14ac:dyDescent="0.35">
      <c r="A60" s="1" t="s">
        <v>315</v>
      </c>
      <c r="B60" s="1" t="s">
        <v>97</v>
      </c>
      <c r="C60" s="1">
        <v>12.7</v>
      </c>
      <c r="D60" s="1">
        <v>5</v>
      </c>
      <c r="E60" s="1">
        <v>25.4</v>
      </c>
      <c r="F60" s="1" t="s">
        <v>278</v>
      </c>
    </row>
    <row r="61" spans="1:6" x14ac:dyDescent="0.35">
      <c r="A61" s="1" t="s">
        <v>316</v>
      </c>
      <c r="B61" s="1" t="s">
        <v>97</v>
      </c>
      <c r="C61" s="1">
        <v>15.9</v>
      </c>
      <c r="D61" s="1">
        <v>5</v>
      </c>
      <c r="E61" s="1">
        <v>25.4</v>
      </c>
      <c r="F61" s="1" t="s">
        <v>278</v>
      </c>
    </row>
    <row r="62" spans="1:6" x14ac:dyDescent="0.35">
      <c r="A62" s="1" t="s">
        <v>317</v>
      </c>
      <c r="B62" s="1" t="s">
        <v>97</v>
      </c>
      <c r="C62" s="1">
        <v>19.100000000000001</v>
      </c>
      <c r="D62" s="1">
        <v>5</v>
      </c>
      <c r="E62" s="1">
        <v>25.4</v>
      </c>
      <c r="F62" s="1" t="s">
        <v>278</v>
      </c>
    </row>
    <row r="63" spans="1:6" x14ac:dyDescent="0.35">
      <c r="A63" s="1" t="s">
        <v>318</v>
      </c>
      <c r="B63" s="1" t="s">
        <v>97</v>
      </c>
      <c r="C63" s="1">
        <v>25.4</v>
      </c>
      <c r="D63" s="1">
        <v>5</v>
      </c>
      <c r="E63" s="1">
        <v>25.4</v>
      </c>
      <c r="F63" s="1" t="s">
        <v>278</v>
      </c>
    </row>
    <row r="64" spans="1:6" x14ac:dyDescent="0.35">
      <c r="A64" s="1" t="s">
        <v>319</v>
      </c>
      <c r="B64" s="1" t="s">
        <v>225</v>
      </c>
      <c r="C64" s="1">
        <v>3.5</v>
      </c>
      <c r="D64" s="1">
        <v>3.5</v>
      </c>
      <c r="E64" s="1">
        <v>17</v>
      </c>
      <c r="F64" s="1" t="s">
        <v>278</v>
      </c>
    </row>
    <row r="65" spans="1:6" x14ac:dyDescent="0.35">
      <c r="A65" s="1" t="s">
        <v>320</v>
      </c>
      <c r="B65" s="1" t="s">
        <v>225</v>
      </c>
      <c r="C65" s="1">
        <v>4</v>
      </c>
      <c r="D65" s="1">
        <v>3.5</v>
      </c>
      <c r="E65" s="1">
        <v>17</v>
      </c>
      <c r="F65" s="1" t="s">
        <v>278</v>
      </c>
    </row>
    <row r="66" spans="1:6" x14ac:dyDescent="0.35">
      <c r="A66" s="1" t="s">
        <v>321</v>
      </c>
      <c r="B66" s="1" t="s">
        <v>225</v>
      </c>
      <c r="C66" s="1">
        <v>4.5</v>
      </c>
      <c r="D66" s="1">
        <v>3.5</v>
      </c>
      <c r="E66" s="1">
        <v>17</v>
      </c>
      <c r="F66" s="1" t="s">
        <v>278</v>
      </c>
    </row>
    <row r="67" spans="1:6" x14ac:dyDescent="0.35">
      <c r="A67" s="1" t="s">
        <v>322</v>
      </c>
      <c r="B67" s="1" t="s">
        <v>225</v>
      </c>
      <c r="C67" s="1">
        <v>5</v>
      </c>
      <c r="D67" s="1">
        <v>3.5</v>
      </c>
      <c r="E67" s="1">
        <v>17</v>
      </c>
      <c r="F67" s="1" t="s">
        <v>278</v>
      </c>
    </row>
    <row r="68" spans="1:6" x14ac:dyDescent="0.35">
      <c r="A68" s="1" t="s">
        <v>323</v>
      </c>
      <c r="B68" s="1" t="s">
        <v>225</v>
      </c>
      <c r="C68" s="1">
        <v>5.6</v>
      </c>
      <c r="D68" s="1">
        <v>3.5</v>
      </c>
      <c r="E68" s="1">
        <v>17</v>
      </c>
      <c r="F68" s="1" t="s">
        <v>278</v>
      </c>
    </row>
    <row r="69" spans="1:6" x14ac:dyDescent="0.35">
      <c r="A69" s="1" t="s">
        <v>324</v>
      </c>
      <c r="B69" s="1" t="s">
        <v>225</v>
      </c>
      <c r="C69" s="1">
        <v>6.4</v>
      </c>
      <c r="D69" s="1">
        <v>3.5</v>
      </c>
      <c r="E69" s="1">
        <v>17</v>
      </c>
      <c r="F69" s="1" t="s">
        <v>278</v>
      </c>
    </row>
    <row r="70" spans="1:6" x14ac:dyDescent="0.35">
      <c r="A70" s="1" t="s">
        <v>325</v>
      </c>
      <c r="B70" s="1" t="s">
        <v>225</v>
      </c>
      <c r="C70" s="1">
        <v>7.1</v>
      </c>
      <c r="D70" s="1">
        <v>3.5</v>
      </c>
      <c r="E70" s="1">
        <v>17</v>
      </c>
      <c r="F70" s="1" t="s">
        <v>278</v>
      </c>
    </row>
    <row r="71" spans="1:6" x14ac:dyDescent="0.35">
      <c r="A71" s="1" t="s">
        <v>326</v>
      </c>
      <c r="B71" s="1" t="s">
        <v>225</v>
      </c>
      <c r="C71" s="1">
        <v>8</v>
      </c>
      <c r="D71" s="1">
        <v>3.5</v>
      </c>
      <c r="E71" s="1">
        <v>17</v>
      </c>
      <c r="F71" s="1" t="s">
        <v>278</v>
      </c>
    </row>
    <row r="72" spans="1:6" x14ac:dyDescent="0.35">
      <c r="A72" s="1" t="s">
        <v>327</v>
      </c>
      <c r="B72" s="1" t="s">
        <v>225</v>
      </c>
      <c r="C72" s="1">
        <v>8.8000000000000007</v>
      </c>
      <c r="D72" s="1">
        <v>3.5</v>
      </c>
      <c r="E72" s="1">
        <v>17</v>
      </c>
      <c r="F72" s="1" t="s">
        <v>278</v>
      </c>
    </row>
    <row r="73" spans="1:6" x14ac:dyDescent="0.35">
      <c r="A73" s="1" t="s">
        <v>328</v>
      </c>
      <c r="B73" s="1" t="s">
        <v>225</v>
      </c>
      <c r="C73" s="1">
        <v>10</v>
      </c>
      <c r="D73" s="1">
        <v>3.5</v>
      </c>
      <c r="E73" s="1">
        <v>17</v>
      </c>
      <c r="F73" s="1" t="s">
        <v>278</v>
      </c>
    </row>
    <row r="74" spans="1:6" x14ac:dyDescent="0.35">
      <c r="A74" s="1" t="s">
        <v>329</v>
      </c>
      <c r="B74" s="1" t="s">
        <v>225</v>
      </c>
      <c r="C74" s="1">
        <v>12.5</v>
      </c>
      <c r="D74" s="1">
        <v>3.5</v>
      </c>
      <c r="E74" s="1">
        <v>17</v>
      </c>
      <c r="F74" s="1" t="s">
        <v>278</v>
      </c>
    </row>
    <row r="75" spans="1:6" x14ac:dyDescent="0.35">
      <c r="A75" s="1" t="s">
        <v>330</v>
      </c>
      <c r="B75" s="1" t="s">
        <v>225</v>
      </c>
      <c r="C75" s="1">
        <v>14.2</v>
      </c>
      <c r="D75" s="1">
        <v>3.5</v>
      </c>
      <c r="E75" s="1">
        <v>17</v>
      </c>
      <c r="F75" s="1" t="s">
        <v>278</v>
      </c>
    </row>
    <row r="76" spans="1:6" x14ac:dyDescent="0.35">
      <c r="A76" s="1" t="s">
        <v>331</v>
      </c>
      <c r="B76" s="1" t="s">
        <v>225</v>
      </c>
      <c r="C76" s="1">
        <v>16</v>
      </c>
      <c r="D76" s="1">
        <v>3.5</v>
      </c>
      <c r="E76" s="1">
        <v>17</v>
      </c>
      <c r="F76" s="1" t="s">
        <v>278</v>
      </c>
    </row>
    <row r="80" spans="1:6" x14ac:dyDescent="0.35">
      <c r="A80" s="1" t="s">
        <v>82</v>
      </c>
      <c r="B80" s="1" t="s">
        <v>60</v>
      </c>
      <c r="C80" s="1" t="s">
        <v>332</v>
      </c>
      <c r="D80" s="1" t="s">
        <v>276</v>
      </c>
    </row>
    <row r="81" spans="1:4" x14ac:dyDescent="0.35">
      <c r="A81" s="1" t="s">
        <v>99</v>
      </c>
      <c r="B81" s="1" t="s">
        <v>97</v>
      </c>
      <c r="C81" s="1" t="s">
        <v>333</v>
      </c>
      <c r="D81" s="1" t="s">
        <v>278</v>
      </c>
    </row>
    <row r="82" spans="1:4" x14ac:dyDescent="0.35">
      <c r="A82" s="1" t="s">
        <v>310</v>
      </c>
      <c r="B82" s="1" t="s">
        <v>97</v>
      </c>
      <c r="C82" s="1" t="s">
        <v>334</v>
      </c>
      <c r="D82" s="1" t="s">
        <v>278</v>
      </c>
    </row>
    <row r="83" spans="1:4" x14ac:dyDescent="0.35">
      <c r="A83" s="1" t="s">
        <v>311</v>
      </c>
      <c r="B83" s="1" t="s">
        <v>97</v>
      </c>
      <c r="C83" s="1" t="s">
        <v>335</v>
      </c>
      <c r="D83" s="1" t="s">
        <v>278</v>
      </c>
    </row>
    <row r="84" spans="1:4" x14ac:dyDescent="0.35">
      <c r="A84" s="1" t="s">
        <v>312</v>
      </c>
      <c r="B84" s="1" t="s">
        <v>97</v>
      </c>
      <c r="C84" s="1" t="s">
        <v>336</v>
      </c>
      <c r="D84" s="1" t="s">
        <v>278</v>
      </c>
    </row>
    <row r="85" spans="1:4" x14ac:dyDescent="0.35">
      <c r="A85" s="1" t="s">
        <v>313</v>
      </c>
      <c r="B85" s="1" t="s">
        <v>97</v>
      </c>
      <c r="C85" s="1" t="s">
        <v>337</v>
      </c>
      <c r="D85" s="1" t="s">
        <v>278</v>
      </c>
    </row>
    <row r="86" spans="1:4" x14ac:dyDescent="0.35">
      <c r="A86" s="1" t="s">
        <v>314</v>
      </c>
      <c r="B86" s="1" t="s">
        <v>97</v>
      </c>
      <c r="C86" s="1" t="s">
        <v>338</v>
      </c>
      <c r="D86" s="1" t="s">
        <v>278</v>
      </c>
    </row>
    <row r="87" spans="1:4" x14ac:dyDescent="0.35">
      <c r="A87" s="1" t="s">
        <v>315</v>
      </c>
      <c r="B87" s="1" t="s">
        <v>97</v>
      </c>
      <c r="C87" s="1" t="s">
        <v>339</v>
      </c>
      <c r="D87" s="1" t="s">
        <v>278</v>
      </c>
    </row>
    <row r="88" spans="1:4" x14ac:dyDescent="0.35">
      <c r="A88" s="1" t="s">
        <v>316</v>
      </c>
      <c r="B88" s="1" t="s">
        <v>97</v>
      </c>
      <c r="C88" s="1" t="s">
        <v>340</v>
      </c>
      <c r="D88" s="1" t="s">
        <v>278</v>
      </c>
    </row>
    <row r="89" spans="1:4" x14ac:dyDescent="0.35">
      <c r="A89" s="1" t="s">
        <v>317</v>
      </c>
      <c r="B89" s="1" t="s">
        <v>97</v>
      </c>
      <c r="C89" s="1" t="s">
        <v>341</v>
      </c>
      <c r="D89" s="1" t="s">
        <v>278</v>
      </c>
    </row>
    <row r="90" spans="1:4" x14ac:dyDescent="0.35">
      <c r="A90" s="1" t="s">
        <v>318</v>
      </c>
      <c r="B90" s="1" t="s">
        <v>97</v>
      </c>
      <c r="C90" s="1" t="s">
        <v>342</v>
      </c>
      <c r="D90" s="1" t="s">
        <v>278</v>
      </c>
    </row>
    <row r="91" spans="1:4" x14ac:dyDescent="0.35">
      <c r="A91" s="1" t="s">
        <v>343</v>
      </c>
      <c r="B91" s="1" t="s">
        <v>97</v>
      </c>
      <c r="C91" s="1" t="s">
        <v>344</v>
      </c>
      <c r="D91" s="1" t="s">
        <v>278</v>
      </c>
    </row>
    <row r="92" spans="1:4" x14ac:dyDescent="0.35">
      <c r="A92" s="1" t="s">
        <v>345</v>
      </c>
      <c r="B92" s="1" t="s">
        <v>97</v>
      </c>
      <c r="C92" s="1" t="s">
        <v>346</v>
      </c>
      <c r="D92" s="1" t="s">
        <v>278</v>
      </c>
    </row>
    <row r="93" spans="1:4" x14ac:dyDescent="0.35">
      <c r="A93" s="1" t="s">
        <v>347</v>
      </c>
      <c r="B93" s="1" t="s">
        <v>97</v>
      </c>
      <c r="C93" s="1" t="s">
        <v>348</v>
      </c>
      <c r="D93" s="1" t="s">
        <v>278</v>
      </c>
    </row>
    <row r="94" spans="1:4" x14ac:dyDescent="0.35">
      <c r="A94" s="1" t="s">
        <v>319</v>
      </c>
      <c r="B94" s="1" t="s">
        <v>225</v>
      </c>
      <c r="C94" s="1" t="s">
        <v>333</v>
      </c>
      <c r="D94" s="1" t="s">
        <v>278</v>
      </c>
    </row>
    <row r="95" spans="1:4" x14ac:dyDescent="0.35">
      <c r="A95" s="1" t="s">
        <v>320</v>
      </c>
      <c r="B95" s="1" t="s">
        <v>225</v>
      </c>
      <c r="C95" s="1" t="s">
        <v>334</v>
      </c>
      <c r="D95" s="1" t="s">
        <v>278</v>
      </c>
    </row>
    <row r="96" spans="1:4" x14ac:dyDescent="0.35">
      <c r="A96" s="1" t="s">
        <v>321</v>
      </c>
      <c r="B96" s="1" t="s">
        <v>225</v>
      </c>
      <c r="C96" s="1" t="s">
        <v>335</v>
      </c>
      <c r="D96" s="1" t="s">
        <v>278</v>
      </c>
    </row>
    <row r="97" spans="1:4" x14ac:dyDescent="0.35">
      <c r="A97" s="1" t="s">
        <v>322</v>
      </c>
      <c r="B97" s="1" t="s">
        <v>225</v>
      </c>
      <c r="C97" s="1" t="s">
        <v>349</v>
      </c>
      <c r="D97" s="1" t="s">
        <v>278</v>
      </c>
    </row>
    <row r="98" spans="1:4" x14ac:dyDescent="0.35">
      <c r="A98" s="1" t="s">
        <v>323</v>
      </c>
      <c r="B98" s="1" t="s">
        <v>225</v>
      </c>
      <c r="C98" s="1" t="s">
        <v>350</v>
      </c>
      <c r="D98" s="1" t="s">
        <v>278</v>
      </c>
    </row>
    <row r="99" spans="1:4" x14ac:dyDescent="0.35">
      <c r="A99" s="1" t="s">
        <v>324</v>
      </c>
      <c r="B99" s="1" t="s">
        <v>225</v>
      </c>
      <c r="C99" s="1" t="s">
        <v>351</v>
      </c>
      <c r="D99" s="1" t="s">
        <v>278</v>
      </c>
    </row>
    <row r="100" spans="1:4" x14ac:dyDescent="0.35">
      <c r="A100" s="1" t="s">
        <v>325</v>
      </c>
      <c r="B100" s="1" t="s">
        <v>225</v>
      </c>
      <c r="C100" s="1" t="s">
        <v>352</v>
      </c>
      <c r="D100" s="1" t="s">
        <v>278</v>
      </c>
    </row>
    <row r="101" spans="1:4" x14ac:dyDescent="0.35">
      <c r="A101" s="1" t="s">
        <v>326</v>
      </c>
      <c r="B101" s="1" t="s">
        <v>225</v>
      </c>
      <c r="C101" s="1" t="s">
        <v>353</v>
      </c>
      <c r="D101" s="1" t="s">
        <v>278</v>
      </c>
    </row>
    <row r="102" spans="1:4" x14ac:dyDescent="0.35">
      <c r="A102" s="1" t="s">
        <v>327</v>
      </c>
      <c r="B102" s="1" t="s">
        <v>225</v>
      </c>
      <c r="C102" s="1" t="s">
        <v>336</v>
      </c>
      <c r="D102" s="1" t="s">
        <v>278</v>
      </c>
    </row>
    <row r="103" spans="1:4" x14ac:dyDescent="0.35">
      <c r="A103" s="1" t="s">
        <v>328</v>
      </c>
      <c r="B103" s="1" t="s">
        <v>225</v>
      </c>
      <c r="C103" s="1" t="s">
        <v>354</v>
      </c>
      <c r="D103" s="1" t="s">
        <v>278</v>
      </c>
    </row>
    <row r="104" spans="1:4" x14ac:dyDescent="0.35">
      <c r="A104" s="1" t="s">
        <v>329</v>
      </c>
      <c r="B104" s="1" t="s">
        <v>225</v>
      </c>
      <c r="C104" s="1" t="s">
        <v>355</v>
      </c>
      <c r="D104" s="1" t="s">
        <v>278</v>
      </c>
    </row>
    <row r="105" spans="1:4" x14ac:dyDescent="0.35">
      <c r="A105" s="1" t="s">
        <v>330</v>
      </c>
      <c r="B105" s="1" t="s">
        <v>225</v>
      </c>
      <c r="C105" s="1" t="s">
        <v>356</v>
      </c>
      <c r="D105" s="1" t="s">
        <v>278</v>
      </c>
    </row>
    <row r="106" spans="1:4" x14ac:dyDescent="0.35">
      <c r="A106" s="1" t="s">
        <v>331</v>
      </c>
      <c r="B106" s="1" t="s">
        <v>225</v>
      </c>
      <c r="C106" s="1" t="s">
        <v>357</v>
      </c>
      <c r="D106" s="1" t="s">
        <v>278</v>
      </c>
    </row>
    <row r="107" spans="1:4" x14ac:dyDescent="0.35">
      <c r="A107" s="1" t="s">
        <v>358</v>
      </c>
      <c r="B107" s="1" t="s">
        <v>225</v>
      </c>
      <c r="C107" s="1" t="s">
        <v>359</v>
      </c>
      <c r="D107" s="1" t="s">
        <v>278</v>
      </c>
    </row>
    <row r="108" spans="1:4" x14ac:dyDescent="0.35">
      <c r="A108" s="1" t="s">
        <v>360</v>
      </c>
      <c r="B108" s="1" t="s">
        <v>225</v>
      </c>
      <c r="C108" s="1" t="s">
        <v>361</v>
      </c>
      <c r="D108" s="1" t="s">
        <v>278</v>
      </c>
    </row>
    <row r="109" spans="1:4" x14ac:dyDescent="0.35">
      <c r="A109" s="1" t="s">
        <v>362</v>
      </c>
      <c r="B109" s="1" t="s">
        <v>225</v>
      </c>
      <c r="C109" s="1" t="s">
        <v>363</v>
      </c>
      <c r="D109" s="1" t="s">
        <v>278</v>
      </c>
    </row>
    <row r="110" spans="1:4" x14ac:dyDescent="0.35">
      <c r="A110" s="1" t="s">
        <v>364</v>
      </c>
      <c r="B110" s="1" t="s">
        <v>225</v>
      </c>
      <c r="C110" s="1" t="s">
        <v>365</v>
      </c>
      <c r="D110" s="1" t="s">
        <v>278</v>
      </c>
    </row>
    <row r="111" spans="1:4" x14ac:dyDescent="0.35">
      <c r="A111" s="1" t="s">
        <v>366</v>
      </c>
      <c r="B111" s="1" t="s">
        <v>225</v>
      </c>
      <c r="C111" s="1" t="s">
        <v>367</v>
      </c>
      <c r="D111" s="1" t="s">
        <v>278</v>
      </c>
    </row>
    <row r="115" spans="1:6" x14ac:dyDescent="0.35">
      <c r="A115" s="1" t="s">
        <v>251</v>
      </c>
      <c r="B115" s="1" t="s">
        <v>368</v>
      </c>
      <c r="C115" s="1" t="s">
        <v>62</v>
      </c>
      <c r="D115" s="1" t="s">
        <v>369</v>
      </c>
      <c r="E115" s="1" t="s">
        <v>370</v>
      </c>
      <c r="F115" s="1" t="s">
        <v>276</v>
      </c>
    </row>
    <row r="116" spans="1:6" x14ac:dyDescent="0.35">
      <c r="A116" s="1" t="s">
        <v>371</v>
      </c>
      <c r="B116" s="1" t="s">
        <v>219</v>
      </c>
      <c r="C116" s="1" t="s">
        <v>372</v>
      </c>
      <c r="D116" s="1">
        <v>500</v>
      </c>
      <c r="E116" s="1" t="s">
        <v>278</v>
      </c>
      <c r="F116" s="1" t="s">
        <v>278</v>
      </c>
    </row>
    <row r="117" spans="1:6" x14ac:dyDescent="0.35">
      <c r="A117" s="1" t="s">
        <v>373</v>
      </c>
      <c r="B117" s="1" t="s">
        <v>219</v>
      </c>
      <c r="C117" s="1" t="s">
        <v>374</v>
      </c>
      <c r="E117" s="1" t="s">
        <v>277</v>
      </c>
      <c r="F117" s="1" t="s">
        <v>278</v>
      </c>
    </row>
    <row r="118" spans="1:6" x14ac:dyDescent="0.35">
      <c r="A118" s="1" t="s">
        <v>375</v>
      </c>
      <c r="B118" s="1" t="s">
        <v>227</v>
      </c>
      <c r="E118" s="1" t="s">
        <v>277</v>
      </c>
      <c r="F118" s="1" t="s">
        <v>278</v>
      </c>
    </row>
    <row r="119" spans="1:6" x14ac:dyDescent="0.35">
      <c r="A119" s="1" t="s">
        <v>376</v>
      </c>
      <c r="B119" s="1" t="s">
        <v>233</v>
      </c>
      <c r="E119" s="1" t="s">
        <v>277</v>
      </c>
      <c r="F119" s="1" t="s">
        <v>278</v>
      </c>
    </row>
    <row r="120" spans="1:6" x14ac:dyDescent="0.35">
      <c r="A120" s="1" t="s">
        <v>377</v>
      </c>
      <c r="B120" s="1" t="s">
        <v>239</v>
      </c>
      <c r="E120" s="1" t="s">
        <v>277</v>
      </c>
      <c r="F120" s="1" t="s">
        <v>278</v>
      </c>
    </row>
    <row r="121" spans="1:6" x14ac:dyDescent="0.35">
      <c r="A121" s="1" t="s">
        <v>378</v>
      </c>
      <c r="B121" s="1" t="s">
        <v>244</v>
      </c>
      <c r="E121" s="1" t="s">
        <v>277</v>
      </c>
      <c r="F121" s="1" t="s">
        <v>278</v>
      </c>
    </row>
    <row r="122" spans="1:6" x14ac:dyDescent="0.35">
      <c r="A122" s="1" t="s">
        <v>379</v>
      </c>
      <c r="B122" s="1" t="s">
        <v>240</v>
      </c>
      <c r="E122" s="1" t="s">
        <v>277</v>
      </c>
      <c r="F122" s="1" t="s">
        <v>278</v>
      </c>
    </row>
    <row r="125" spans="1:6" x14ac:dyDescent="0.35">
      <c r="A125" s="1" t="s">
        <v>251</v>
      </c>
      <c r="B125" s="1" t="s">
        <v>368</v>
      </c>
      <c r="C125" s="1" t="s">
        <v>62</v>
      </c>
      <c r="D125" s="1" t="s">
        <v>369</v>
      </c>
      <c r="E125" s="1" t="s">
        <v>370</v>
      </c>
      <c r="F125" s="1" t="s">
        <v>276</v>
      </c>
    </row>
    <row r="126" spans="1:6" x14ac:dyDescent="0.35">
      <c r="A126" s="1" t="s">
        <v>380</v>
      </c>
      <c r="B126" s="1" t="s">
        <v>220</v>
      </c>
      <c r="C126" s="1" t="s">
        <v>381</v>
      </c>
      <c r="D126" s="1">
        <v>275</v>
      </c>
      <c r="E126" s="1" t="s">
        <v>278</v>
      </c>
      <c r="F126" s="1" t="s">
        <v>278</v>
      </c>
    </row>
    <row r="127" spans="1:6" x14ac:dyDescent="0.35">
      <c r="A127" s="1" t="s">
        <v>382</v>
      </c>
      <c r="B127" s="1" t="s">
        <v>228</v>
      </c>
      <c r="E127" s="1" t="s">
        <v>277</v>
      </c>
      <c r="F127" s="1" t="s">
        <v>278</v>
      </c>
    </row>
    <row r="128" spans="1:6" x14ac:dyDescent="0.35">
      <c r="A128" s="1" t="s">
        <v>383</v>
      </c>
      <c r="B128" s="1" t="s">
        <v>219</v>
      </c>
      <c r="E128" s="1" t="s">
        <v>277</v>
      </c>
      <c r="F128" s="1" t="s">
        <v>278</v>
      </c>
    </row>
    <row r="129" spans="1:6" x14ac:dyDescent="0.35">
      <c r="A129" s="1" t="s">
        <v>384</v>
      </c>
      <c r="B129" s="1" t="s">
        <v>240</v>
      </c>
      <c r="E129" s="1" t="s">
        <v>277</v>
      </c>
      <c r="F129" s="1" t="s">
        <v>278</v>
      </c>
    </row>
    <row r="130" spans="1:6" x14ac:dyDescent="0.35">
      <c r="A130" s="1" t="s">
        <v>385</v>
      </c>
      <c r="B130" s="1" t="s">
        <v>245</v>
      </c>
      <c r="E130" s="1" t="s">
        <v>277</v>
      </c>
      <c r="F130" s="1" t="s">
        <v>278</v>
      </c>
    </row>
    <row r="134" spans="1:6" x14ac:dyDescent="0.35">
      <c r="A134" s="1" t="s">
        <v>264</v>
      </c>
      <c r="B134" s="1" t="s">
        <v>386</v>
      </c>
      <c r="C134" s="1" t="s">
        <v>276</v>
      </c>
    </row>
    <row r="135" spans="1:6" x14ac:dyDescent="0.35">
      <c r="A135" s="1" t="s">
        <v>387</v>
      </c>
      <c r="B135" s="1" t="s">
        <v>57</v>
      </c>
      <c r="C135" s="1" t="s">
        <v>278</v>
      </c>
    </row>
    <row r="136" spans="1:6" x14ac:dyDescent="0.35">
      <c r="A136" s="1" t="s">
        <v>388</v>
      </c>
      <c r="B136" s="1" t="s">
        <v>389</v>
      </c>
      <c r="C136" s="1" t="s">
        <v>278</v>
      </c>
    </row>
    <row r="137" spans="1:6" x14ac:dyDescent="0.35">
      <c r="A137" s="1" t="s">
        <v>390</v>
      </c>
      <c r="B137" s="1" t="s">
        <v>391</v>
      </c>
      <c r="C137" s="1" t="s">
        <v>278</v>
      </c>
    </row>
    <row r="142" spans="1:6" x14ac:dyDescent="0.35">
      <c r="A142" s="1" t="s">
        <v>392</v>
      </c>
      <c r="B142" s="1" t="s">
        <v>393</v>
      </c>
      <c r="C142" s="1" t="s">
        <v>394</v>
      </c>
      <c r="D142" s="1" t="s">
        <v>395</v>
      </c>
      <c r="E142" s="1" t="s">
        <v>396</v>
      </c>
      <c r="F142" s="1" t="s">
        <v>146</v>
      </c>
    </row>
    <row r="143" spans="1:6" x14ac:dyDescent="0.35">
      <c r="A143" s="1" t="s">
        <v>397</v>
      </c>
      <c r="B143" s="1">
        <v>1200</v>
      </c>
      <c r="C143" s="1">
        <v>1250</v>
      </c>
      <c r="D143" s="1">
        <v>4</v>
      </c>
      <c r="E143" s="1" t="s">
        <v>398</v>
      </c>
      <c r="F143" s="1" t="s">
        <v>399</v>
      </c>
    </row>
    <row r="144" spans="1:6" x14ac:dyDescent="0.35">
      <c r="A144" s="1" t="s">
        <v>400</v>
      </c>
      <c r="B144" s="1">
        <v>1251</v>
      </c>
      <c r="C144" s="1">
        <v>1320</v>
      </c>
      <c r="D144" s="1">
        <v>4</v>
      </c>
      <c r="E144" s="1" t="s">
        <v>401</v>
      </c>
      <c r="F144" s="1" t="s">
        <v>402</v>
      </c>
    </row>
    <row r="145" spans="1:7" x14ac:dyDescent="0.35">
      <c r="A145" s="1" t="s">
        <v>403</v>
      </c>
      <c r="B145" s="1">
        <v>1321</v>
      </c>
      <c r="C145" s="1">
        <v>1370</v>
      </c>
      <c r="D145" s="1">
        <v>4</v>
      </c>
      <c r="E145" s="1" t="s">
        <v>404</v>
      </c>
      <c r="F145" s="1" t="s">
        <v>405</v>
      </c>
    </row>
    <row r="146" spans="1:7" x14ac:dyDescent="0.35">
      <c r="A146" s="1" t="s">
        <v>406</v>
      </c>
      <c r="B146" s="1">
        <v>1371</v>
      </c>
      <c r="C146" s="1">
        <v>1450</v>
      </c>
      <c r="D146" s="1">
        <v>4</v>
      </c>
      <c r="E146" s="1" t="s">
        <v>407</v>
      </c>
      <c r="F146" s="1" t="s">
        <v>408</v>
      </c>
    </row>
    <row r="150" spans="1:7" x14ac:dyDescent="0.35">
      <c r="A150" s="1" t="s">
        <v>409</v>
      </c>
      <c r="B150" s="1" t="s">
        <v>410</v>
      </c>
      <c r="C150" s="1" t="s">
        <v>411</v>
      </c>
      <c r="D150" s="1" t="s">
        <v>412</v>
      </c>
    </row>
    <row r="151" spans="1:7" x14ac:dyDescent="0.35">
      <c r="A151" s="1" t="s">
        <v>413</v>
      </c>
      <c r="B151" s="1">
        <v>0</v>
      </c>
      <c r="C151" s="1">
        <v>500</v>
      </c>
      <c r="D151" s="1">
        <v>60000</v>
      </c>
    </row>
    <row r="152" spans="1:7" x14ac:dyDescent="0.35">
      <c r="A152" s="1" t="s">
        <v>414</v>
      </c>
      <c r="B152" s="1">
        <v>501</v>
      </c>
      <c r="C152" s="1">
        <v>800</v>
      </c>
      <c r="D152" s="1">
        <v>98000</v>
      </c>
    </row>
    <row r="153" spans="1:7" x14ac:dyDescent="0.35">
      <c r="A153" s="1" t="s">
        <v>415</v>
      </c>
      <c r="B153" s="1">
        <v>801</v>
      </c>
      <c r="C153" s="1">
        <v>1200</v>
      </c>
      <c r="D153" s="1">
        <v>140000</v>
      </c>
    </row>
    <row r="154" spans="1:7" x14ac:dyDescent="0.35">
      <c r="A154" s="1" t="s">
        <v>416</v>
      </c>
      <c r="B154" s="1">
        <v>1201</v>
      </c>
      <c r="C154" s="1">
        <v>1600</v>
      </c>
      <c r="D154" s="1">
        <v>180000</v>
      </c>
    </row>
    <row r="155" spans="1:7" x14ac:dyDescent="0.35">
      <c r="A155" s="1" t="s">
        <v>417</v>
      </c>
      <c r="B155" s="1">
        <v>1601</v>
      </c>
      <c r="C155" s="1">
        <v>2000</v>
      </c>
      <c r="D155" s="1">
        <v>220000</v>
      </c>
    </row>
    <row r="156" spans="1:7" x14ac:dyDescent="0.35">
      <c r="A156" s="1" t="s">
        <v>418</v>
      </c>
      <c r="B156" s="1">
        <v>2001</v>
      </c>
      <c r="C156" s="1">
        <v>3000</v>
      </c>
      <c r="D156" s="1">
        <v>300000</v>
      </c>
    </row>
    <row r="160" spans="1:7" x14ac:dyDescent="0.35">
      <c r="A160" s="1" t="s">
        <v>419</v>
      </c>
      <c r="B160" s="1" t="s">
        <v>420</v>
      </c>
      <c r="C160" s="1" t="s">
        <v>421</v>
      </c>
      <c r="D160" s="1" t="s">
        <v>79</v>
      </c>
      <c r="E160" s="1" t="s">
        <v>422</v>
      </c>
      <c r="F160" s="1" t="s">
        <v>423</v>
      </c>
      <c r="G160" s="1" t="s">
        <v>283</v>
      </c>
    </row>
    <row r="161" spans="1:7" x14ac:dyDescent="0.35">
      <c r="A161" s="1" t="s">
        <v>424</v>
      </c>
      <c r="B161" s="1" t="s">
        <v>425</v>
      </c>
      <c r="C161" s="1" t="s">
        <v>27</v>
      </c>
      <c r="D161" s="1" t="s">
        <v>17</v>
      </c>
      <c r="E161" s="1">
        <v>79500</v>
      </c>
      <c r="F161" s="4">
        <v>46300</v>
      </c>
      <c r="G161" s="1" t="s">
        <v>426</v>
      </c>
    </row>
    <row r="162" spans="1:7" x14ac:dyDescent="0.35">
      <c r="A162" s="1" t="s">
        <v>427</v>
      </c>
      <c r="B162" s="1" t="s">
        <v>428</v>
      </c>
      <c r="C162" s="1" t="s">
        <v>30</v>
      </c>
      <c r="D162" s="1" t="s">
        <v>17</v>
      </c>
      <c r="E162" s="1">
        <v>81000</v>
      </c>
      <c r="F162" s="4">
        <v>46218</v>
      </c>
      <c r="G162" s="1" t="s">
        <v>429</v>
      </c>
    </row>
    <row r="163" spans="1:7" x14ac:dyDescent="0.35">
      <c r="A163" s="1" t="s">
        <v>430</v>
      </c>
      <c r="B163" s="1" t="s">
        <v>431</v>
      </c>
      <c r="C163" s="1" t="s">
        <v>32</v>
      </c>
      <c r="D163" s="1" t="s">
        <v>17</v>
      </c>
      <c r="G163" s="1" t="s">
        <v>432</v>
      </c>
    </row>
    <row r="164" spans="1:7" x14ac:dyDescent="0.35">
      <c r="A164" s="1" t="s">
        <v>433</v>
      </c>
      <c r="B164" s="1" t="s">
        <v>434</v>
      </c>
      <c r="C164" s="1" t="s">
        <v>35</v>
      </c>
      <c r="D164" s="1" t="s">
        <v>17</v>
      </c>
      <c r="E164" s="1">
        <v>82500</v>
      </c>
      <c r="F164" s="4">
        <v>46277</v>
      </c>
      <c r="G164" s="1" t="s">
        <v>435</v>
      </c>
    </row>
  </sheetData>
  <sheetProtection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4"/>
  <sheetViews>
    <sheetView showGridLines="0" workbookViewId="0"/>
  </sheetViews>
  <sheetFormatPr defaultRowHeight="14.5" x14ac:dyDescent="0.35"/>
  <cols>
    <col min="1" max="1" width="28.7265625" style="1" customWidth="1"/>
    <col min="2" max="2" width="20.7265625" style="1" customWidth="1"/>
    <col min="3" max="3" width="14.7265625" style="1" customWidth="1"/>
    <col min="4" max="4" width="36.7265625" style="1" customWidth="1"/>
    <col min="5" max="5" width="20.7265625" style="1" customWidth="1"/>
    <col min="6" max="6" width="12.7265625" style="1" customWidth="1"/>
    <col min="7" max="7" width="18.7265625" style="1" customWidth="1"/>
    <col min="8" max="16384" width="8.7265625" style="1"/>
  </cols>
  <sheetData>
    <row r="1" spans="1:7" ht="21" customHeight="1" x14ac:dyDescent="0.5">
      <c r="A1" s="2" t="s">
        <v>436</v>
      </c>
    </row>
    <row r="3" spans="1:7" x14ac:dyDescent="0.35">
      <c r="A3" s="1" t="s">
        <v>268</v>
      </c>
      <c r="B3" s="1" t="s">
        <v>437</v>
      </c>
      <c r="C3" s="1" t="s">
        <v>438</v>
      </c>
      <c r="D3" s="1" t="s">
        <v>146</v>
      </c>
      <c r="E3" s="1" t="s">
        <v>439</v>
      </c>
      <c r="F3" s="1" t="s">
        <v>440</v>
      </c>
      <c r="G3" s="1" t="s">
        <v>441</v>
      </c>
    </row>
    <row r="4" spans="1:7" x14ac:dyDescent="0.35">
      <c r="A4" s="1" t="s">
        <v>442</v>
      </c>
      <c r="B4" s="1">
        <v>18</v>
      </c>
      <c r="C4" s="1" t="s">
        <v>443</v>
      </c>
      <c r="D4" s="1" t="s">
        <v>444</v>
      </c>
      <c r="E4" s="1">
        <v>18</v>
      </c>
      <c r="F4" s="1" t="s">
        <v>278</v>
      </c>
      <c r="G4" s="1" t="s">
        <v>445</v>
      </c>
    </row>
    <row r="5" spans="1:7" x14ac:dyDescent="0.35">
      <c r="A5" s="1" t="s">
        <v>446</v>
      </c>
      <c r="B5" s="1">
        <v>3.14</v>
      </c>
      <c r="C5" s="1" t="s">
        <v>443</v>
      </c>
      <c r="D5" s="1" t="s">
        <v>447</v>
      </c>
      <c r="E5" s="1">
        <v>3.14</v>
      </c>
      <c r="F5" s="1" t="s">
        <v>278</v>
      </c>
      <c r="G5" s="1" t="s">
        <v>445</v>
      </c>
    </row>
    <row r="6" spans="1:7" x14ac:dyDescent="0.35">
      <c r="A6" s="1" t="s">
        <v>448</v>
      </c>
      <c r="B6" s="1" t="s">
        <v>449</v>
      </c>
      <c r="C6" s="1" t="s">
        <v>450</v>
      </c>
      <c r="D6" s="1" t="s">
        <v>451</v>
      </c>
      <c r="E6" s="1" t="s">
        <v>449</v>
      </c>
      <c r="F6" s="1" t="s">
        <v>278</v>
      </c>
      <c r="G6" s="1" t="s">
        <v>183</v>
      </c>
    </row>
    <row r="7" spans="1:7" x14ac:dyDescent="0.35">
      <c r="A7" s="1" t="s">
        <v>452</v>
      </c>
      <c r="B7" s="1">
        <v>125.32</v>
      </c>
      <c r="C7" s="1" t="s">
        <v>443</v>
      </c>
      <c r="D7" s="1" t="s">
        <v>453</v>
      </c>
      <c r="E7" s="1">
        <v>125.32</v>
      </c>
      <c r="F7" s="1" t="s">
        <v>278</v>
      </c>
      <c r="G7" s="1" t="s">
        <v>183</v>
      </c>
    </row>
    <row r="8" spans="1:7" x14ac:dyDescent="0.35">
      <c r="A8" s="1" t="s">
        <v>454</v>
      </c>
      <c r="B8" s="1">
        <v>98000</v>
      </c>
      <c r="C8" s="1" t="s">
        <v>443</v>
      </c>
      <c r="D8" s="1" t="s">
        <v>455</v>
      </c>
      <c r="E8" s="1">
        <v>98000</v>
      </c>
      <c r="F8" s="1" t="s">
        <v>278</v>
      </c>
      <c r="G8" s="1" t="s">
        <v>183</v>
      </c>
    </row>
    <row r="9" spans="1:7" x14ac:dyDescent="0.35">
      <c r="A9" s="1" t="s">
        <v>456</v>
      </c>
      <c r="B9" s="1">
        <v>100</v>
      </c>
      <c r="C9" s="1" t="s">
        <v>443</v>
      </c>
      <c r="D9" s="1" t="s">
        <v>457</v>
      </c>
      <c r="E9" s="1">
        <v>100</v>
      </c>
      <c r="F9" s="1" t="s">
        <v>278</v>
      </c>
      <c r="G9" s="1" t="s">
        <v>183</v>
      </c>
    </row>
    <row r="10" spans="1:7" x14ac:dyDescent="0.35">
      <c r="A10" s="1" t="s">
        <v>458</v>
      </c>
      <c r="B10" s="1">
        <v>28</v>
      </c>
      <c r="C10" s="1" t="s">
        <v>443</v>
      </c>
      <c r="D10" s="1" t="s">
        <v>459</v>
      </c>
      <c r="E10" s="1">
        <v>28</v>
      </c>
      <c r="F10" s="1" t="s">
        <v>278</v>
      </c>
      <c r="G10" s="1" t="s">
        <v>183</v>
      </c>
    </row>
    <row r="11" spans="1:7" x14ac:dyDescent="0.35">
      <c r="A11" s="1" t="s">
        <v>460</v>
      </c>
      <c r="B11" s="1" t="s">
        <v>461</v>
      </c>
      <c r="C11" s="1" t="s">
        <v>450</v>
      </c>
      <c r="D11" s="1" t="s">
        <v>462</v>
      </c>
      <c r="E11" s="1" t="s">
        <v>461</v>
      </c>
      <c r="F11" s="1" t="s">
        <v>278</v>
      </c>
      <c r="G11" s="1" t="s">
        <v>183</v>
      </c>
    </row>
    <row r="12" spans="1:7" x14ac:dyDescent="0.35">
      <c r="A12" s="1" t="s">
        <v>463</v>
      </c>
      <c r="B12" s="1" t="s">
        <v>464</v>
      </c>
      <c r="C12" s="1" t="s">
        <v>450</v>
      </c>
      <c r="D12" s="1" t="s">
        <v>465</v>
      </c>
      <c r="E12" s="1" t="s">
        <v>464</v>
      </c>
      <c r="F12" s="1" t="s">
        <v>278</v>
      </c>
      <c r="G12" s="1" t="s">
        <v>183</v>
      </c>
    </row>
    <row r="13" spans="1:7" x14ac:dyDescent="0.35">
      <c r="A13" s="1" t="s">
        <v>466</v>
      </c>
      <c r="B13" s="1">
        <v>500</v>
      </c>
      <c r="C13" s="1" t="s">
        <v>443</v>
      </c>
      <c r="D13" s="1" t="s">
        <v>467</v>
      </c>
      <c r="E13" s="1">
        <v>500</v>
      </c>
      <c r="F13" s="1" t="s">
        <v>278</v>
      </c>
      <c r="G13" s="1" t="s">
        <v>468</v>
      </c>
    </row>
    <row r="14" spans="1:7" x14ac:dyDescent="0.35">
      <c r="A14" s="1" t="s">
        <v>469</v>
      </c>
      <c r="B14" s="1">
        <v>0</v>
      </c>
      <c r="C14" s="1" t="s">
        <v>443</v>
      </c>
      <c r="D14" s="1" t="s">
        <v>470</v>
      </c>
      <c r="E14" s="1">
        <v>0</v>
      </c>
      <c r="F14" s="1" t="s">
        <v>278</v>
      </c>
      <c r="G14" s="1" t="s">
        <v>445</v>
      </c>
    </row>
    <row r="15" spans="1:7" x14ac:dyDescent="0.35">
      <c r="A15" s="1" t="s">
        <v>471</v>
      </c>
      <c r="B15" s="1">
        <v>0</v>
      </c>
      <c r="C15" s="1" t="s">
        <v>443</v>
      </c>
      <c r="D15" s="1" t="s">
        <v>472</v>
      </c>
      <c r="E15" s="1">
        <v>0</v>
      </c>
      <c r="F15" s="1" t="s">
        <v>278</v>
      </c>
      <c r="G15" s="1" t="s">
        <v>183</v>
      </c>
    </row>
    <row r="16" spans="1:7" x14ac:dyDescent="0.35">
      <c r="A16" s="1" t="s">
        <v>473</v>
      </c>
      <c r="B16" s="1">
        <v>5</v>
      </c>
      <c r="C16" s="1" t="s">
        <v>474</v>
      </c>
      <c r="D16" s="1" t="s">
        <v>475</v>
      </c>
      <c r="E16" s="1">
        <v>5</v>
      </c>
      <c r="F16" s="1" t="s">
        <v>278</v>
      </c>
      <c r="G16" s="1" t="s">
        <v>476</v>
      </c>
    </row>
    <row r="17" spans="1:7" x14ac:dyDescent="0.35">
      <c r="A17" s="1" t="s">
        <v>477</v>
      </c>
      <c r="B17" s="1" t="s">
        <v>478</v>
      </c>
      <c r="C17" s="1" t="s">
        <v>450</v>
      </c>
      <c r="D17" s="1" t="s">
        <v>479</v>
      </c>
      <c r="E17" s="1" t="s">
        <v>478</v>
      </c>
      <c r="F17" s="1" t="s">
        <v>278</v>
      </c>
      <c r="G17" s="1" t="s">
        <v>445</v>
      </c>
    </row>
    <row r="18" spans="1:7" x14ac:dyDescent="0.35">
      <c r="A18" s="1" t="s">
        <v>480</v>
      </c>
      <c r="B18" s="1">
        <v>30</v>
      </c>
      <c r="C18" s="1" t="s">
        <v>474</v>
      </c>
      <c r="D18" s="1" t="s">
        <v>481</v>
      </c>
      <c r="E18" s="1">
        <v>30</v>
      </c>
      <c r="F18" s="1" t="s">
        <v>278</v>
      </c>
      <c r="G18" s="1" t="s">
        <v>482</v>
      </c>
    </row>
    <row r="19" spans="1:7" x14ac:dyDescent="0.35">
      <c r="A19" s="1" t="s">
        <v>483</v>
      </c>
      <c r="B19" s="1">
        <v>595</v>
      </c>
      <c r="C19" s="1" t="s">
        <v>474</v>
      </c>
      <c r="D19" s="1" t="s">
        <v>484</v>
      </c>
      <c r="E19" s="1">
        <v>595</v>
      </c>
      <c r="F19" s="1" t="s">
        <v>278</v>
      </c>
      <c r="G19" s="1" t="s">
        <v>485</v>
      </c>
    </row>
    <row r="20" spans="1:7" x14ac:dyDescent="0.35">
      <c r="A20" s="1" t="s">
        <v>486</v>
      </c>
      <c r="B20" s="1" t="s">
        <v>487</v>
      </c>
      <c r="C20" s="1" t="s">
        <v>450</v>
      </c>
      <c r="D20" s="1" t="s">
        <v>488</v>
      </c>
      <c r="E20" s="1" t="s">
        <v>487</v>
      </c>
      <c r="F20" s="1" t="s">
        <v>278</v>
      </c>
      <c r="G20" s="1" t="s">
        <v>7</v>
      </c>
    </row>
    <row r="21" spans="1:7" x14ac:dyDescent="0.35">
      <c r="A21" s="1" t="s">
        <v>489</v>
      </c>
      <c r="B21" s="1">
        <v>0</v>
      </c>
      <c r="C21" s="1" t="s">
        <v>443</v>
      </c>
      <c r="D21" s="1" t="s">
        <v>490</v>
      </c>
      <c r="E21" s="1">
        <v>0</v>
      </c>
      <c r="F21" s="1" t="s">
        <v>278</v>
      </c>
      <c r="G21" s="1" t="s">
        <v>183</v>
      </c>
    </row>
    <row r="22" spans="1:7" x14ac:dyDescent="0.35">
      <c r="A22" s="1" t="s">
        <v>491</v>
      </c>
      <c r="B22" s="1">
        <v>61000</v>
      </c>
      <c r="C22" s="1" t="s">
        <v>443</v>
      </c>
      <c r="D22" s="1" t="s">
        <v>492</v>
      </c>
      <c r="E22" s="1">
        <v>61000</v>
      </c>
      <c r="F22" s="1" t="s">
        <v>278</v>
      </c>
      <c r="G22" s="1" t="s">
        <v>445</v>
      </c>
    </row>
    <row r="23" spans="1:7" x14ac:dyDescent="0.35">
      <c r="A23" s="1" t="s">
        <v>493</v>
      </c>
      <c r="B23" s="1">
        <v>0</v>
      </c>
      <c r="C23" s="1" t="s">
        <v>443</v>
      </c>
      <c r="D23" s="1" t="s">
        <v>494</v>
      </c>
      <c r="E23" s="1">
        <v>0</v>
      </c>
      <c r="F23" s="1" t="s">
        <v>278</v>
      </c>
      <c r="G23" s="1" t="s">
        <v>445</v>
      </c>
    </row>
    <row r="24" spans="1:7" x14ac:dyDescent="0.35">
      <c r="A24" s="1" t="s">
        <v>495</v>
      </c>
      <c r="B24" s="1">
        <v>2</v>
      </c>
      <c r="C24" s="1" t="s">
        <v>443</v>
      </c>
      <c r="D24" s="1" t="s">
        <v>496</v>
      </c>
      <c r="E24" s="1">
        <v>2</v>
      </c>
      <c r="F24" s="1" t="s">
        <v>278</v>
      </c>
      <c r="G24" s="1" t="s">
        <v>445</v>
      </c>
    </row>
    <row r="25" spans="1:7" x14ac:dyDescent="0.35">
      <c r="A25" s="1" t="s">
        <v>497</v>
      </c>
      <c r="B25" s="1">
        <v>5000</v>
      </c>
      <c r="C25" s="1" t="s">
        <v>443</v>
      </c>
      <c r="D25" s="1" t="s">
        <v>498</v>
      </c>
      <c r="E25" s="1">
        <v>5000</v>
      </c>
      <c r="F25" s="1" t="s">
        <v>278</v>
      </c>
      <c r="G25" s="1" t="s">
        <v>445</v>
      </c>
    </row>
    <row r="26" spans="1:7" x14ac:dyDescent="0.35">
      <c r="A26" s="1" t="s">
        <v>499</v>
      </c>
      <c r="B26" s="1">
        <v>1.5</v>
      </c>
      <c r="C26" s="1" t="s">
        <v>443</v>
      </c>
      <c r="D26" s="1" t="s">
        <v>500</v>
      </c>
      <c r="E26" s="1">
        <v>1.5</v>
      </c>
      <c r="F26" s="1" t="s">
        <v>278</v>
      </c>
      <c r="G26" s="1" t="s">
        <v>445</v>
      </c>
    </row>
    <row r="27" spans="1:7" x14ac:dyDescent="0.35">
      <c r="A27" s="1" t="s">
        <v>501</v>
      </c>
      <c r="B27" s="1">
        <v>0</v>
      </c>
      <c r="C27" s="1" t="s">
        <v>443</v>
      </c>
      <c r="D27" s="1" t="s">
        <v>502</v>
      </c>
      <c r="E27" s="1">
        <v>0</v>
      </c>
      <c r="F27" s="1" t="s">
        <v>278</v>
      </c>
      <c r="G27" s="1" t="s">
        <v>445</v>
      </c>
    </row>
    <row r="28" spans="1:7" x14ac:dyDescent="0.35">
      <c r="A28" s="1" t="s">
        <v>503</v>
      </c>
      <c r="B28" s="1">
        <v>0</v>
      </c>
      <c r="C28" s="1" t="s">
        <v>443</v>
      </c>
      <c r="D28" s="1" t="s">
        <v>504</v>
      </c>
      <c r="E28" s="1">
        <v>0</v>
      </c>
      <c r="F28" s="1" t="s">
        <v>278</v>
      </c>
      <c r="G28" s="1" t="s">
        <v>445</v>
      </c>
    </row>
    <row r="29" spans="1:7" x14ac:dyDescent="0.35">
      <c r="A29" s="1" t="s">
        <v>505</v>
      </c>
      <c r="B29" s="1">
        <v>6</v>
      </c>
      <c r="C29" s="1" t="s">
        <v>443</v>
      </c>
      <c r="D29" s="1" t="s">
        <v>506</v>
      </c>
      <c r="E29" s="1">
        <v>6</v>
      </c>
      <c r="F29" s="1" t="s">
        <v>278</v>
      </c>
      <c r="G29" s="1" t="s">
        <v>507</v>
      </c>
    </row>
    <row r="30" spans="1:7" x14ac:dyDescent="0.35">
      <c r="A30" s="1" t="s">
        <v>508</v>
      </c>
      <c r="B30" s="1">
        <v>13</v>
      </c>
      <c r="C30" s="1" t="s">
        <v>443</v>
      </c>
      <c r="D30" s="1" t="s">
        <v>509</v>
      </c>
      <c r="E30" s="1">
        <v>13</v>
      </c>
      <c r="F30" s="1" t="s">
        <v>278</v>
      </c>
      <c r="G30" s="1" t="s">
        <v>507</v>
      </c>
    </row>
    <row r="32" spans="1:7" x14ac:dyDescent="0.35">
      <c r="A32" s="1" t="s">
        <v>510</v>
      </c>
      <c r="B32" s="1">
        <v>637</v>
      </c>
      <c r="C32" s="1" t="s">
        <v>474</v>
      </c>
      <c r="D32" s="1" t="s">
        <v>511</v>
      </c>
      <c r="F32" s="1" t="s">
        <v>277</v>
      </c>
      <c r="G32" s="1" t="s">
        <v>485</v>
      </c>
    </row>
    <row r="33" spans="1:7" x14ac:dyDescent="0.35">
      <c r="A33" s="1" t="s">
        <v>512</v>
      </c>
      <c r="B33" s="1" t="s">
        <v>513</v>
      </c>
      <c r="C33" s="1" t="s">
        <v>450</v>
      </c>
      <c r="D33" s="9" t="s">
        <v>514</v>
      </c>
    </row>
    <row r="34" spans="1:7" x14ac:dyDescent="0.35">
      <c r="A34" s="1" t="s">
        <v>515</v>
      </c>
      <c r="B34" s="1" t="s">
        <v>277</v>
      </c>
      <c r="C34" s="1" t="s">
        <v>450</v>
      </c>
      <c r="D34" s="1" t="s">
        <v>516</v>
      </c>
      <c r="E34" s="1" t="s">
        <v>277</v>
      </c>
      <c r="F34" s="1" t="s">
        <v>278</v>
      </c>
      <c r="G34" s="1" t="s">
        <v>482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style="1" customWidth="1"/>
    <col min="16" max="16384" width="8.7265625" style="1"/>
  </cols>
  <sheetData>
    <row r="3" spans="1:15" x14ac:dyDescent="0.35">
      <c r="A3" s="1" t="s">
        <v>261</v>
      </c>
      <c r="B3" s="1" t="s">
        <v>517</v>
      </c>
      <c r="C3" s="1" t="s">
        <v>518</v>
      </c>
      <c r="D3" s="1" t="s">
        <v>519</v>
      </c>
      <c r="E3" s="1" t="s">
        <v>520</v>
      </c>
      <c r="F3" s="1" t="s">
        <v>521</v>
      </c>
      <c r="G3" s="1" t="s">
        <v>522</v>
      </c>
      <c r="H3" s="1" t="s">
        <v>523</v>
      </c>
      <c r="I3" s="1" t="s">
        <v>524</v>
      </c>
      <c r="J3" s="1" t="s">
        <v>525</v>
      </c>
      <c r="K3" s="1" t="s">
        <v>526</v>
      </c>
      <c r="L3" s="1" t="s">
        <v>527</v>
      </c>
      <c r="M3" s="1" t="s">
        <v>276</v>
      </c>
      <c r="N3" s="1" t="s">
        <v>528</v>
      </c>
      <c r="O3" s="1" t="s">
        <v>529</v>
      </c>
    </row>
    <row r="4" spans="1:15" x14ac:dyDescent="0.35">
      <c r="A4" s="1" t="s">
        <v>530</v>
      </c>
      <c r="B4" s="1" t="s">
        <v>2</v>
      </c>
      <c r="C4" s="1" t="s">
        <v>47</v>
      </c>
      <c r="F4" s="1" t="s">
        <v>51</v>
      </c>
      <c r="G4" s="1" t="s">
        <v>531</v>
      </c>
      <c r="H4" s="1" t="s">
        <v>532</v>
      </c>
      <c r="I4" s="1" t="s">
        <v>533</v>
      </c>
      <c r="J4" s="1" t="s">
        <v>534</v>
      </c>
      <c r="M4" s="1" t="s">
        <v>278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style="1" customWidth="1"/>
    <col min="14" max="16384" width="8.7265625" style="1"/>
  </cols>
  <sheetData>
    <row r="3" spans="1:13" x14ac:dyDescent="0.35">
      <c r="A3" s="1" t="s">
        <v>95</v>
      </c>
      <c r="B3" s="1" t="s">
        <v>535</v>
      </c>
      <c r="C3" s="1" t="s">
        <v>536</v>
      </c>
      <c r="D3" s="1" t="s">
        <v>537</v>
      </c>
      <c r="E3" s="1" t="s">
        <v>521</v>
      </c>
      <c r="F3" s="1" t="s">
        <v>522</v>
      </c>
      <c r="G3" s="1" t="s">
        <v>523</v>
      </c>
      <c r="H3" s="1" t="s">
        <v>524</v>
      </c>
      <c r="I3" s="1" t="s">
        <v>525</v>
      </c>
      <c r="J3" s="1" t="s">
        <v>526</v>
      </c>
      <c r="K3" s="1" t="s">
        <v>527</v>
      </c>
      <c r="L3" s="1" t="s">
        <v>276</v>
      </c>
      <c r="M3" s="1" t="s">
        <v>283</v>
      </c>
    </row>
    <row r="4" spans="1:13" x14ac:dyDescent="0.35">
      <c r="A4" s="1" t="s">
        <v>15</v>
      </c>
      <c r="B4" s="1" t="s">
        <v>16</v>
      </c>
      <c r="C4" s="1" t="s">
        <v>538</v>
      </c>
      <c r="D4" s="1" t="s">
        <v>539</v>
      </c>
      <c r="F4" s="1" t="s">
        <v>540</v>
      </c>
      <c r="G4" s="1" t="s">
        <v>541</v>
      </c>
      <c r="H4" s="1" t="s">
        <v>533</v>
      </c>
      <c r="L4" s="1" t="s">
        <v>278</v>
      </c>
    </row>
    <row r="5" spans="1:13" x14ac:dyDescent="0.35">
      <c r="A5" s="1" t="s">
        <v>17</v>
      </c>
      <c r="B5" s="1" t="s">
        <v>18</v>
      </c>
      <c r="C5" s="1" t="s">
        <v>538</v>
      </c>
      <c r="D5" s="1" t="s">
        <v>539</v>
      </c>
      <c r="F5" s="1" t="s">
        <v>542</v>
      </c>
      <c r="G5" s="1" t="s">
        <v>543</v>
      </c>
      <c r="H5" s="1" t="s">
        <v>533</v>
      </c>
      <c r="L5" s="1" t="s">
        <v>278</v>
      </c>
    </row>
    <row r="7" spans="1:13" x14ac:dyDescent="0.35">
      <c r="A7" s="1" t="s">
        <v>425</v>
      </c>
      <c r="B7" s="1" t="s">
        <v>27</v>
      </c>
      <c r="C7" s="1" t="s">
        <v>544</v>
      </c>
      <c r="D7" s="1" t="s">
        <v>545</v>
      </c>
      <c r="E7" s="1" t="s">
        <v>546</v>
      </c>
      <c r="F7" s="1" t="s">
        <v>547</v>
      </c>
      <c r="G7" s="1" t="s">
        <v>548</v>
      </c>
      <c r="H7" s="1" t="s">
        <v>533</v>
      </c>
      <c r="I7" s="1">
        <v>770019</v>
      </c>
      <c r="L7" s="1" t="s">
        <v>278</v>
      </c>
    </row>
    <row r="8" spans="1:13" x14ac:dyDescent="0.35">
      <c r="A8" s="1" t="s">
        <v>428</v>
      </c>
      <c r="B8" s="1" t="s">
        <v>30</v>
      </c>
      <c r="C8" s="1" t="s">
        <v>544</v>
      </c>
      <c r="D8" s="1" t="s">
        <v>549</v>
      </c>
      <c r="E8" s="1" t="s">
        <v>550</v>
      </c>
      <c r="F8" s="1" t="s">
        <v>551</v>
      </c>
      <c r="G8" s="1" t="s">
        <v>541</v>
      </c>
      <c r="H8" s="1" t="s">
        <v>533</v>
      </c>
      <c r="L8" s="1" t="s">
        <v>278</v>
      </c>
    </row>
    <row r="9" spans="1:13" x14ac:dyDescent="0.35">
      <c r="A9" s="1" t="s">
        <v>431</v>
      </c>
      <c r="B9" s="1" t="s">
        <v>32</v>
      </c>
      <c r="C9" s="1" t="s">
        <v>544</v>
      </c>
      <c r="D9" s="1" t="s">
        <v>552</v>
      </c>
      <c r="E9" s="1" t="s">
        <v>553</v>
      </c>
      <c r="F9" s="1" t="s">
        <v>554</v>
      </c>
      <c r="G9" s="1" t="s">
        <v>555</v>
      </c>
      <c r="H9" s="1" t="s">
        <v>533</v>
      </c>
      <c r="L9" s="1" t="s">
        <v>278</v>
      </c>
    </row>
    <row r="10" spans="1:13" x14ac:dyDescent="0.35">
      <c r="A10" s="1" t="s">
        <v>434</v>
      </c>
      <c r="B10" s="1" t="s">
        <v>35</v>
      </c>
      <c r="C10" s="1" t="s">
        <v>544</v>
      </c>
      <c r="D10" s="1" t="s">
        <v>556</v>
      </c>
      <c r="E10" s="1" t="s">
        <v>557</v>
      </c>
      <c r="F10" s="1" t="s">
        <v>558</v>
      </c>
      <c r="G10" s="1" t="s">
        <v>559</v>
      </c>
      <c r="H10" s="1" t="s">
        <v>533</v>
      </c>
      <c r="I10" s="1">
        <v>583152</v>
      </c>
      <c r="L10" s="1" t="s">
        <v>278</v>
      </c>
    </row>
    <row r="14" spans="1:13" x14ac:dyDescent="0.35">
      <c r="A14" s="1" t="s">
        <v>560</v>
      </c>
      <c r="B14" s="1" t="s">
        <v>95</v>
      </c>
      <c r="C14" s="1" t="s">
        <v>79</v>
      </c>
      <c r="D14" s="1" t="s">
        <v>60</v>
      </c>
      <c r="E14" s="1" t="s">
        <v>276</v>
      </c>
    </row>
    <row r="15" spans="1:13" x14ac:dyDescent="0.35">
      <c r="A15" s="1" t="s">
        <v>561</v>
      </c>
      <c r="B15" s="1" t="s">
        <v>15</v>
      </c>
      <c r="C15" s="1" t="s">
        <v>15</v>
      </c>
      <c r="D15" s="1" t="s">
        <v>97</v>
      </c>
      <c r="E15" s="1" t="s">
        <v>278</v>
      </c>
    </row>
    <row r="16" spans="1:13" x14ac:dyDescent="0.35">
      <c r="A16" s="1" t="s">
        <v>562</v>
      </c>
      <c r="B16" s="1" t="s">
        <v>15</v>
      </c>
      <c r="C16" s="1" t="s">
        <v>17</v>
      </c>
      <c r="D16" s="1" t="s">
        <v>97</v>
      </c>
      <c r="E16" s="1" t="s">
        <v>278</v>
      </c>
    </row>
    <row r="17" spans="1:5" x14ac:dyDescent="0.35">
      <c r="A17" s="1" t="s">
        <v>563</v>
      </c>
      <c r="B17" s="1" t="s">
        <v>17</v>
      </c>
      <c r="C17" s="1" t="s">
        <v>15</v>
      </c>
      <c r="D17" s="1" t="s">
        <v>97</v>
      </c>
      <c r="E17" s="1" t="s">
        <v>278</v>
      </c>
    </row>
    <row r="18" spans="1:5" x14ac:dyDescent="0.35">
      <c r="A18" s="1" t="s">
        <v>564</v>
      </c>
      <c r="B18" s="1" t="s">
        <v>17</v>
      </c>
      <c r="C18" s="1" t="s">
        <v>17</v>
      </c>
      <c r="D18" s="1" t="s">
        <v>97</v>
      </c>
      <c r="E18" s="1" t="s">
        <v>278</v>
      </c>
    </row>
    <row r="19" spans="1:5" x14ac:dyDescent="0.35">
      <c r="A19" s="1" t="s">
        <v>565</v>
      </c>
      <c r="B19" s="1" t="s">
        <v>17</v>
      </c>
      <c r="C19" s="1" t="s">
        <v>280</v>
      </c>
      <c r="D19" s="1" t="s">
        <v>225</v>
      </c>
      <c r="E19" s="1" t="s">
        <v>278</v>
      </c>
    </row>
    <row r="20" spans="1:5" x14ac:dyDescent="0.35">
      <c r="A20" s="1" t="s">
        <v>566</v>
      </c>
      <c r="B20" s="1" t="s">
        <v>17</v>
      </c>
      <c r="C20" s="1" t="s">
        <v>281</v>
      </c>
      <c r="D20" s="1" t="s">
        <v>225</v>
      </c>
      <c r="E20" s="1" t="s">
        <v>278</v>
      </c>
    </row>
  </sheetData>
  <sheetProtection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style="1" customWidth="1"/>
    <col min="13" max="16384" width="8.7265625" style="1"/>
  </cols>
  <sheetData>
    <row r="3" spans="1:12" x14ac:dyDescent="0.35">
      <c r="A3" s="1" t="s">
        <v>567</v>
      </c>
      <c r="B3" s="1" t="s">
        <v>568</v>
      </c>
      <c r="C3" s="1" t="s">
        <v>95</v>
      </c>
      <c r="D3" s="1" t="s">
        <v>569</v>
      </c>
      <c r="E3" s="1" t="s">
        <v>570</v>
      </c>
      <c r="F3" s="1" t="s">
        <v>571</v>
      </c>
      <c r="G3" s="1" t="s">
        <v>572</v>
      </c>
      <c r="H3" s="1" t="s">
        <v>573</v>
      </c>
      <c r="I3" s="1" t="s">
        <v>574</v>
      </c>
      <c r="J3" s="1" t="s">
        <v>575</v>
      </c>
      <c r="K3" s="1" t="s">
        <v>576</v>
      </c>
      <c r="L3" s="1" t="s">
        <v>76</v>
      </c>
    </row>
    <row r="4" spans="1:12" x14ac:dyDescent="0.35">
      <c r="A4" s="1" t="s">
        <v>577</v>
      </c>
      <c r="B4" s="1" t="s">
        <v>487</v>
      </c>
      <c r="C4" s="1" t="s">
        <v>15</v>
      </c>
      <c r="D4" s="1">
        <v>825322</v>
      </c>
      <c r="G4" s="1">
        <v>782</v>
      </c>
      <c r="H4" s="1">
        <v>900</v>
      </c>
      <c r="I4" s="1" t="s">
        <v>578</v>
      </c>
      <c r="J4" s="4">
        <v>46280</v>
      </c>
      <c r="K4" s="4">
        <v>46645</v>
      </c>
      <c r="L4" s="1" t="s">
        <v>579</v>
      </c>
    </row>
    <row r="5" spans="1:12" x14ac:dyDescent="0.35">
      <c r="A5" s="1" t="s">
        <v>580</v>
      </c>
      <c r="B5" s="1" t="s">
        <v>487</v>
      </c>
      <c r="C5" s="1" t="s">
        <v>17</v>
      </c>
      <c r="D5" s="1">
        <v>825322</v>
      </c>
      <c r="G5" s="1">
        <v>1821</v>
      </c>
      <c r="H5" s="1">
        <v>2100</v>
      </c>
      <c r="I5" s="1" t="s">
        <v>578</v>
      </c>
      <c r="J5" s="4">
        <v>46280</v>
      </c>
      <c r="K5" s="4">
        <v>46645</v>
      </c>
      <c r="L5" s="1" t="s">
        <v>579</v>
      </c>
    </row>
    <row r="6" spans="1:12" x14ac:dyDescent="0.35">
      <c r="A6" s="1" t="s">
        <v>581</v>
      </c>
      <c r="B6" s="1" t="s">
        <v>487</v>
      </c>
      <c r="C6" s="1" t="s">
        <v>15</v>
      </c>
      <c r="D6" s="1">
        <v>110001</v>
      </c>
      <c r="E6" s="1">
        <v>28.613900000000001</v>
      </c>
      <c r="F6" s="1">
        <v>77.209000000000003</v>
      </c>
      <c r="G6" s="1">
        <v>850.5</v>
      </c>
      <c r="H6" s="1">
        <v>960</v>
      </c>
      <c r="I6" s="1" t="s">
        <v>582</v>
      </c>
      <c r="J6" s="4">
        <v>46308</v>
      </c>
      <c r="K6" s="4">
        <v>46673</v>
      </c>
      <c r="L6" s="1" t="s">
        <v>579</v>
      </c>
    </row>
    <row r="7" spans="1:12" x14ac:dyDescent="0.35">
      <c r="A7" s="1" t="s">
        <v>583</v>
      </c>
      <c r="B7" s="1" t="s">
        <v>487</v>
      </c>
      <c r="C7" s="1" t="s">
        <v>17</v>
      </c>
      <c r="D7" s="1">
        <v>999999</v>
      </c>
      <c r="G7" s="1">
        <v>1234.5</v>
      </c>
      <c r="H7" s="1">
        <v>0</v>
      </c>
      <c r="I7" s="1" t="s">
        <v>584</v>
      </c>
      <c r="J7" s="4">
        <v>46308</v>
      </c>
      <c r="K7" s="4">
        <v>46673</v>
      </c>
      <c r="L7" s="1" t="s">
        <v>579</v>
      </c>
    </row>
    <row r="8" spans="1:12" x14ac:dyDescent="0.35">
      <c r="A8" s="1" t="s">
        <v>585</v>
      </c>
      <c r="B8" s="1" t="s">
        <v>487</v>
      </c>
      <c r="C8" s="1" t="s">
        <v>425</v>
      </c>
      <c r="D8" s="1">
        <v>825322</v>
      </c>
      <c r="G8" s="1">
        <v>403</v>
      </c>
      <c r="H8" s="1">
        <v>480</v>
      </c>
      <c r="I8" s="1" t="s">
        <v>578</v>
      </c>
      <c r="J8" s="4">
        <v>46280</v>
      </c>
      <c r="K8" s="4">
        <v>46645</v>
      </c>
      <c r="L8" s="1" t="s">
        <v>579</v>
      </c>
    </row>
    <row r="9" spans="1:12" x14ac:dyDescent="0.35">
      <c r="A9" s="1" t="s">
        <v>586</v>
      </c>
      <c r="B9" s="1" t="s">
        <v>487</v>
      </c>
      <c r="C9" s="1" t="s">
        <v>428</v>
      </c>
      <c r="D9" s="1">
        <v>825322</v>
      </c>
      <c r="G9" s="1">
        <v>1019</v>
      </c>
      <c r="H9" s="1">
        <v>1200</v>
      </c>
      <c r="I9" s="1" t="s">
        <v>578</v>
      </c>
      <c r="J9" s="4">
        <v>46280</v>
      </c>
      <c r="K9" s="4">
        <v>46645</v>
      </c>
      <c r="L9" s="1" t="s">
        <v>579</v>
      </c>
    </row>
    <row r="10" spans="1:12" x14ac:dyDescent="0.35">
      <c r="A10" s="1" t="s">
        <v>587</v>
      </c>
      <c r="B10" s="1" t="s">
        <v>487</v>
      </c>
      <c r="C10" s="1" t="s">
        <v>431</v>
      </c>
      <c r="D10" s="1">
        <v>825322</v>
      </c>
      <c r="G10" s="1">
        <v>1973</v>
      </c>
      <c r="H10" s="1">
        <v>2300</v>
      </c>
      <c r="I10" s="1" t="s">
        <v>578</v>
      </c>
      <c r="J10" s="4">
        <v>46280</v>
      </c>
      <c r="K10" s="4">
        <v>46645</v>
      </c>
      <c r="L10" s="1" t="s">
        <v>579</v>
      </c>
    </row>
    <row r="11" spans="1:12" x14ac:dyDescent="0.35">
      <c r="A11" s="1" t="s">
        <v>588</v>
      </c>
      <c r="B11" s="1" t="s">
        <v>487</v>
      </c>
      <c r="C11" s="1" t="s">
        <v>434</v>
      </c>
      <c r="D11" s="1">
        <v>825322</v>
      </c>
      <c r="G11" s="1">
        <v>1833</v>
      </c>
      <c r="H11" s="1">
        <v>2200</v>
      </c>
      <c r="I11" s="1" t="s">
        <v>578</v>
      </c>
      <c r="J11" s="4">
        <v>46280</v>
      </c>
      <c r="K11" s="4">
        <v>46645</v>
      </c>
      <c r="L11" s="1" t="s">
        <v>579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74"/>
  <sheetViews>
    <sheetView showGridLines="0" workbookViewId="0"/>
  </sheetViews>
  <sheetFormatPr defaultRowHeight="14.5" x14ac:dyDescent="0.35"/>
  <cols>
    <col min="1" max="10" width="20.7265625" style="1" customWidth="1"/>
    <col min="11" max="16384" width="8.7265625" style="1"/>
  </cols>
  <sheetData>
    <row r="3" spans="1:10" x14ac:dyDescent="0.35">
      <c r="A3" s="1" t="s">
        <v>589</v>
      </c>
      <c r="B3" s="1" t="s">
        <v>78</v>
      </c>
      <c r="C3" s="1" t="s">
        <v>590</v>
      </c>
      <c r="D3" s="1" t="s">
        <v>591</v>
      </c>
      <c r="E3" s="1" t="s">
        <v>592</v>
      </c>
      <c r="F3" s="1" t="s">
        <v>593</v>
      </c>
      <c r="G3" s="1" t="s">
        <v>594</v>
      </c>
      <c r="H3" s="1" t="s">
        <v>595</v>
      </c>
      <c r="I3" s="1" t="s">
        <v>76</v>
      </c>
      <c r="J3" s="1" t="s">
        <v>283</v>
      </c>
    </row>
    <row r="6" spans="1:10" x14ac:dyDescent="0.35">
      <c r="A6" s="1" t="s">
        <v>596</v>
      </c>
      <c r="B6" s="1" t="s">
        <v>597</v>
      </c>
      <c r="C6" s="9">
        <v>46308.385949074072</v>
      </c>
      <c r="D6" s="1" t="s">
        <v>6</v>
      </c>
      <c r="E6" s="1" t="s">
        <v>598</v>
      </c>
      <c r="F6" s="1" t="s">
        <v>15</v>
      </c>
      <c r="G6" s="1" t="s">
        <v>17</v>
      </c>
      <c r="H6" s="1" t="s">
        <v>599</v>
      </c>
      <c r="I6" s="1" t="s">
        <v>600</v>
      </c>
      <c r="J6" s="1" t="s">
        <v>601</v>
      </c>
    </row>
    <row r="7" spans="1:10" x14ac:dyDescent="0.35">
      <c r="A7" s="1" t="s">
        <v>602</v>
      </c>
      <c r="B7" s="1" t="s">
        <v>597</v>
      </c>
      <c r="C7" s="9">
        <v>46308.389780092592</v>
      </c>
      <c r="D7" s="1" t="s">
        <v>6</v>
      </c>
      <c r="E7" s="1" t="s">
        <v>598</v>
      </c>
      <c r="F7" s="1" t="s">
        <v>15</v>
      </c>
      <c r="G7" s="1" t="s">
        <v>17</v>
      </c>
      <c r="H7" s="1" t="s">
        <v>599</v>
      </c>
      <c r="I7" s="1" t="s">
        <v>600</v>
      </c>
      <c r="J7" s="1" t="s">
        <v>601</v>
      </c>
    </row>
    <row r="8" spans="1:10" x14ac:dyDescent="0.35">
      <c r="A8" s="1" t="s">
        <v>603</v>
      </c>
      <c r="B8" s="1" t="s">
        <v>597</v>
      </c>
      <c r="C8" s="9">
        <v>46308.393182870372</v>
      </c>
      <c r="D8" s="1" t="s">
        <v>6</v>
      </c>
      <c r="E8" s="1" t="s">
        <v>598</v>
      </c>
      <c r="F8" s="1" t="s">
        <v>15</v>
      </c>
      <c r="G8" s="1" t="s">
        <v>17</v>
      </c>
      <c r="H8" s="1" t="s">
        <v>599</v>
      </c>
      <c r="I8" s="1" t="s">
        <v>600</v>
      </c>
      <c r="J8" s="1" t="s">
        <v>601</v>
      </c>
    </row>
    <row r="9" spans="1:10" x14ac:dyDescent="0.35">
      <c r="A9" s="1" t="s">
        <v>604</v>
      </c>
      <c r="B9" s="1" t="s">
        <v>597</v>
      </c>
      <c r="C9" s="9">
        <v>46308.426192129627</v>
      </c>
      <c r="D9" s="1" t="s">
        <v>6</v>
      </c>
      <c r="E9" s="1" t="s">
        <v>598</v>
      </c>
      <c r="F9" s="1" t="s">
        <v>15</v>
      </c>
      <c r="G9" s="1" t="s">
        <v>17</v>
      </c>
      <c r="H9" s="1" t="s">
        <v>599</v>
      </c>
      <c r="I9" s="1" t="s">
        <v>600</v>
      </c>
      <c r="J9" s="1" t="s">
        <v>601</v>
      </c>
    </row>
    <row r="10" spans="1:10" x14ac:dyDescent="0.35">
      <c r="A10" s="1" t="s">
        <v>605</v>
      </c>
      <c r="B10" s="1" t="s">
        <v>597</v>
      </c>
      <c r="C10" s="9">
        <v>46308.430185185192</v>
      </c>
      <c r="D10" s="1" t="s">
        <v>6</v>
      </c>
      <c r="E10" s="1" t="s">
        <v>598</v>
      </c>
      <c r="F10" s="1" t="s">
        <v>15</v>
      </c>
      <c r="G10" s="1" t="s">
        <v>17</v>
      </c>
      <c r="H10" s="1" t="s">
        <v>599</v>
      </c>
      <c r="I10" s="1" t="s">
        <v>600</v>
      </c>
      <c r="J10" s="1" t="s">
        <v>601</v>
      </c>
    </row>
    <row r="11" spans="1:10" x14ac:dyDescent="0.35">
      <c r="A11" s="1" t="s">
        <v>606</v>
      </c>
      <c r="B11" s="1" t="s">
        <v>597</v>
      </c>
      <c r="C11" s="9">
        <v>46308.432557870372</v>
      </c>
      <c r="D11" s="1" t="s">
        <v>6</v>
      </c>
      <c r="E11" s="1" t="s">
        <v>598</v>
      </c>
      <c r="F11" s="1" t="s">
        <v>15</v>
      </c>
      <c r="G11" s="1" t="s">
        <v>17</v>
      </c>
      <c r="H11" s="1" t="s">
        <v>599</v>
      </c>
      <c r="I11" s="1" t="s">
        <v>600</v>
      </c>
      <c r="J11" s="1" t="s">
        <v>601</v>
      </c>
    </row>
    <row r="12" spans="1:10" x14ac:dyDescent="0.35">
      <c r="A12" s="1" t="s">
        <v>607</v>
      </c>
      <c r="B12" s="1" t="s">
        <v>597</v>
      </c>
      <c r="C12" s="9">
        <v>46308.432928240742</v>
      </c>
      <c r="D12" s="1" t="s">
        <v>6</v>
      </c>
      <c r="E12" s="1" t="s">
        <v>598</v>
      </c>
      <c r="F12" s="1" t="s">
        <v>15</v>
      </c>
      <c r="G12" s="1" t="s">
        <v>17</v>
      </c>
      <c r="H12" s="1" t="s">
        <v>599</v>
      </c>
      <c r="I12" s="1" t="s">
        <v>600</v>
      </c>
      <c r="J12" s="1" t="s">
        <v>601</v>
      </c>
    </row>
    <row r="13" spans="1:10" x14ac:dyDescent="0.35">
      <c r="A13" s="1" t="s">
        <v>608</v>
      </c>
      <c r="B13" s="1" t="s">
        <v>96</v>
      </c>
      <c r="C13" s="9">
        <v>46308.436412037037</v>
      </c>
      <c r="D13" s="1" t="s">
        <v>6</v>
      </c>
      <c r="E13" s="1" t="s">
        <v>609</v>
      </c>
      <c r="G13" s="1">
        <v>178801050</v>
      </c>
      <c r="H13" s="1" t="s">
        <v>599</v>
      </c>
      <c r="I13" s="1" t="s">
        <v>610</v>
      </c>
      <c r="J13" s="1" t="s">
        <v>611</v>
      </c>
    </row>
    <row r="14" spans="1:10" x14ac:dyDescent="0.35">
      <c r="A14" s="1" t="s">
        <v>612</v>
      </c>
      <c r="B14" s="1" t="s">
        <v>96</v>
      </c>
      <c r="C14" s="9">
        <v>46308.436423611107</v>
      </c>
      <c r="D14" s="1" t="s">
        <v>6</v>
      </c>
      <c r="E14" s="1" t="s">
        <v>613</v>
      </c>
      <c r="G14" s="1">
        <v>178801050</v>
      </c>
      <c r="H14" s="1" t="s">
        <v>599</v>
      </c>
      <c r="I14" s="1" t="s">
        <v>614</v>
      </c>
      <c r="J14" s="1" t="s">
        <v>615</v>
      </c>
    </row>
    <row r="15" spans="1:10" x14ac:dyDescent="0.35">
      <c r="A15" s="1" t="s">
        <v>616</v>
      </c>
      <c r="B15" s="1" t="s">
        <v>96</v>
      </c>
      <c r="C15" s="9">
        <v>46308.436435185176</v>
      </c>
      <c r="D15" s="1" t="s">
        <v>6</v>
      </c>
      <c r="E15" s="1" t="s">
        <v>609</v>
      </c>
      <c r="G15" s="1">
        <v>178801050</v>
      </c>
      <c r="H15" s="1" t="s">
        <v>599</v>
      </c>
      <c r="I15" s="1" t="s">
        <v>610</v>
      </c>
      <c r="J15" s="1" t="s">
        <v>617</v>
      </c>
    </row>
    <row r="16" spans="1:10" x14ac:dyDescent="0.35">
      <c r="A16" s="1" t="s">
        <v>618</v>
      </c>
      <c r="B16" s="1" t="s">
        <v>597</v>
      </c>
      <c r="C16" s="9">
        <v>46308.43644675926</v>
      </c>
      <c r="D16" s="1" t="s">
        <v>6</v>
      </c>
      <c r="E16" s="1" t="s">
        <v>598</v>
      </c>
      <c r="F16" s="1" t="s">
        <v>15</v>
      </c>
      <c r="G16" s="1" t="s">
        <v>17</v>
      </c>
      <c r="H16" s="1" t="s">
        <v>599</v>
      </c>
      <c r="I16" s="1" t="s">
        <v>600</v>
      </c>
      <c r="J16" s="1" t="s">
        <v>601</v>
      </c>
    </row>
    <row r="17" spans="1:10" x14ac:dyDescent="0.35">
      <c r="A17" s="1" t="s">
        <v>619</v>
      </c>
      <c r="B17" s="1" t="s">
        <v>597</v>
      </c>
      <c r="C17" s="9">
        <v>46308.443530092591</v>
      </c>
      <c r="D17" s="1" t="s">
        <v>6</v>
      </c>
      <c r="E17" s="1" t="s">
        <v>598</v>
      </c>
      <c r="F17" s="1" t="s">
        <v>15</v>
      </c>
      <c r="G17" s="1" t="s">
        <v>17</v>
      </c>
      <c r="H17" s="1" t="s">
        <v>599</v>
      </c>
      <c r="I17" s="1" t="s">
        <v>600</v>
      </c>
      <c r="J17" s="1" t="s">
        <v>601</v>
      </c>
    </row>
    <row r="18" spans="1:10" x14ac:dyDescent="0.35">
      <c r="A18" s="1" t="s">
        <v>620</v>
      </c>
      <c r="B18" s="1" t="s">
        <v>0</v>
      </c>
      <c r="C18" s="9">
        <v>46308.443553240737</v>
      </c>
      <c r="D18" s="1" t="s">
        <v>6</v>
      </c>
      <c r="E18" s="1" t="s">
        <v>609</v>
      </c>
      <c r="G18" s="1">
        <v>178801050</v>
      </c>
      <c r="H18" s="1" t="s">
        <v>599</v>
      </c>
      <c r="I18" s="1" t="s">
        <v>610</v>
      </c>
      <c r="J18" s="1" t="s">
        <v>621</v>
      </c>
    </row>
    <row r="19" spans="1:10" x14ac:dyDescent="0.35">
      <c r="A19" s="1" t="s">
        <v>622</v>
      </c>
      <c r="B19" s="1" t="s">
        <v>0</v>
      </c>
      <c r="C19" s="9">
        <v>46308.443564814806</v>
      </c>
      <c r="D19" s="1" t="s">
        <v>6</v>
      </c>
      <c r="E19" s="1" t="s">
        <v>613</v>
      </c>
      <c r="G19" s="1">
        <v>178801050</v>
      </c>
      <c r="H19" s="1" t="s">
        <v>599</v>
      </c>
      <c r="I19" s="1" t="s">
        <v>614</v>
      </c>
      <c r="J19" s="1" t="s">
        <v>623</v>
      </c>
    </row>
    <row r="20" spans="1:10" x14ac:dyDescent="0.35">
      <c r="A20" s="1" t="s">
        <v>624</v>
      </c>
      <c r="B20" s="1" t="s">
        <v>0</v>
      </c>
      <c r="C20" s="9">
        <v>46308.443564814806</v>
      </c>
      <c r="D20" s="1" t="s">
        <v>6</v>
      </c>
      <c r="E20" s="1" t="s">
        <v>609</v>
      </c>
      <c r="G20" s="1">
        <v>178801050</v>
      </c>
      <c r="H20" s="1" t="s">
        <v>599</v>
      </c>
      <c r="I20" s="1" t="s">
        <v>610</v>
      </c>
      <c r="J20" s="1" t="s">
        <v>625</v>
      </c>
    </row>
    <row r="21" spans="1:10" x14ac:dyDescent="0.35">
      <c r="A21" s="1" t="s">
        <v>626</v>
      </c>
      <c r="B21" s="1" t="s">
        <v>627</v>
      </c>
      <c r="C21" s="9">
        <v>46308.446747685193</v>
      </c>
      <c r="D21" s="1" t="s">
        <v>6</v>
      </c>
      <c r="E21" s="1" t="s">
        <v>628</v>
      </c>
      <c r="G21" s="1" t="s">
        <v>629</v>
      </c>
      <c r="H21" s="1" t="s">
        <v>630</v>
      </c>
      <c r="I21" s="1" t="s">
        <v>631</v>
      </c>
      <c r="J21" s="1" t="s">
        <v>632</v>
      </c>
    </row>
    <row r="22" spans="1:10" x14ac:dyDescent="0.35">
      <c r="A22" s="1" t="s">
        <v>633</v>
      </c>
      <c r="B22" s="1" t="s">
        <v>597</v>
      </c>
      <c r="C22" s="9">
        <v>46308.446747685193</v>
      </c>
      <c r="D22" s="1" t="s">
        <v>6</v>
      </c>
      <c r="E22" s="1" t="s">
        <v>598</v>
      </c>
      <c r="F22" s="1" t="s">
        <v>15</v>
      </c>
      <c r="G22" s="1" t="s">
        <v>17</v>
      </c>
      <c r="H22" s="1" t="s">
        <v>599</v>
      </c>
      <c r="I22" s="1" t="s">
        <v>600</v>
      </c>
      <c r="J22" s="1" t="s">
        <v>601</v>
      </c>
    </row>
    <row r="23" spans="1:10" x14ac:dyDescent="0.35">
      <c r="A23" s="1" t="s">
        <v>634</v>
      </c>
      <c r="B23" s="1" t="s">
        <v>0</v>
      </c>
      <c r="C23" s="9">
        <v>46308.446770833332</v>
      </c>
      <c r="D23" s="1" t="s">
        <v>6</v>
      </c>
      <c r="E23" s="1" t="s">
        <v>609</v>
      </c>
      <c r="G23" s="1">
        <v>178801050</v>
      </c>
      <c r="H23" s="1" t="s">
        <v>599</v>
      </c>
      <c r="I23" s="1" t="s">
        <v>610</v>
      </c>
      <c r="J23" s="1" t="s">
        <v>621</v>
      </c>
    </row>
    <row r="24" spans="1:10" x14ac:dyDescent="0.35">
      <c r="A24" s="1" t="s">
        <v>635</v>
      </c>
      <c r="B24" s="1" t="s">
        <v>0</v>
      </c>
      <c r="C24" s="9">
        <v>46308.446793981479</v>
      </c>
      <c r="D24" s="1" t="s">
        <v>6</v>
      </c>
      <c r="E24" s="1" t="s">
        <v>613</v>
      </c>
      <c r="G24" s="1">
        <v>178801050</v>
      </c>
      <c r="H24" s="1" t="s">
        <v>599</v>
      </c>
      <c r="I24" s="1" t="s">
        <v>614</v>
      </c>
      <c r="J24" s="1" t="s">
        <v>623</v>
      </c>
    </row>
    <row r="25" spans="1:10" x14ac:dyDescent="0.35">
      <c r="A25" s="1" t="s">
        <v>636</v>
      </c>
      <c r="B25" s="1" t="s">
        <v>0</v>
      </c>
      <c r="C25" s="9">
        <v>46308.446793981479</v>
      </c>
      <c r="D25" s="1" t="s">
        <v>6</v>
      </c>
      <c r="E25" s="1" t="s">
        <v>609</v>
      </c>
      <c r="G25" s="1">
        <v>178801050</v>
      </c>
      <c r="H25" s="1" t="s">
        <v>599</v>
      </c>
      <c r="I25" s="1" t="s">
        <v>610</v>
      </c>
      <c r="J25" s="1" t="s">
        <v>625</v>
      </c>
    </row>
    <row r="26" spans="1:10" x14ac:dyDescent="0.35">
      <c r="A26" s="1" t="s">
        <v>637</v>
      </c>
      <c r="B26" s="1" t="s">
        <v>638</v>
      </c>
      <c r="C26" s="9">
        <v>46308.449861111112</v>
      </c>
      <c r="D26" s="1" t="s">
        <v>6</v>
      </c>
      <c r="E26" s="1" t="s">
        <v>639</v>
      </c>
      <c r="F26" s="1" t="s">
        <v>640</v>
      </c>
      <c r="G26" s="1" t="s">
        <v>638</v>
      </c>
      <c r="H26" s="1" t="s">
        <v>599</v>
      </c>
      <c r="I26" s="1" t="s">
        <v>641</v>
      </c>
      <c r="J26" s="1" t="s">
        <v>642</v>
      </c>
    </row>
    <row r="27" spans="1:10" x14ac:dyDescent="0.35">
      <c r="A27" s="1" t="s">
        <v>643</v>
      </c>
      <c r="B27" s="1" t="s">
        <v>627</v>
      </c>
      <c r="C27" s="9">
        <v>46308.449861111112</v>
      </c>
      <c r="D27" s="1" t="s">
        <v>6</v>
      </c>
      <c r="E27" s="1" t="s">
        <v>628</v>
      </c>
      <c r="G27" s="1" t="s">
        <v>629</v>
      </c>
      <c r="H27" s="1" t="s">
        <v>630</v>
      </c>
      <c r="I27" s="1" t="s">
        <v>631</v>
      </c>
      <c r="J27" s="1" t="s">
        <v>644</v>
      </c>
    </row>
    <row r="28" spans="1:10" x14ac:dyDescent="0.35">
      <c r="A28" s="1" t="s">
        <v>645</v>
      </c>
      <c r="B28" s="1" t="s">
        <v>597</v>
      </c>
      <c r="C28" s="9">
        <v>46308.449861111112</v>
      </c>
      <c r="D28" s="1" t="s">
        <v>6</v>
      </c>
      <c r="E28" s="1" t="s">
        <v>598</v>
      </c>
      <c r="F28" s="1" t="s">
        <v>15</v>
      </c>
      <c r="G28" s="1" t="s">
        <v>17</v>
      </c>
      <c r="H28" s="1" t="s">
        <v>599</v>
      </c>
      <c r="I28" s="1" t="s">
        <v>600</v>
      </c>
      <c r="J28" s="1" t="s">
        <v>601</v>
      </c>
    </row>
    <row r="29" spans="1:10" x14ac:dyDescent="0.35">
      <c r="A29" s="1" t="s">
        <v>646</v>
      </c>
      <c r="B29" s="1" t="s">
        <v>0</v>
      </c>
      <c r="C29" s="9">
        <v>46308.449884259258</v>
      </c>
      <c r="D29" s="1" t="s">
        <v>6</v>
      </c>
      <c r="E29" s="1" t="s">
        <v>609</v>
      </c>
      <c r="G29" s="1">
        <v>178801050</v>
      </c>
      <c r="H29" s="1" t="s">
        <v>599</v>
      </c>
      <c r="I29" s="1" t="s">
        <v>610</v>
      </c>
      <c r="J29" s="1" t="s">
        <v>621</v>
      </c>
    </row>
    <row r="30" spans="1:10" x14ac:dyDescent="0.35">
      <c r="A30" s="1" t="s">
        <v>647</v>
      </c>
      <c r="B30" s="1" t="s">
        <v>0</v>
      </c>
      <c r="C30" s="9">
        <v>46308.449907407397</v>
      </c>
      <c r="D30" s="1" t="s">
        <v>6</v>
      </c>
      <c r="E30" s="1" t="s">
        <v>613</v>
      </c>
      <c r="G30" s="1">
        <v>178801050</v>
      </c>
      <c r="H30" s="1" t="s">
        <v>599</v>
      </c>
      <c r="I30" s="1" t="s">
        <v>614</v>
      </c>
      <c r="J30" s="1" t="s">
        <v>623</v>
      </c>
    </row>
    <row r="31" spans="1:10" x14ac:dyDescent="0.35">
      <c r="A31" s="1" t="s">
        <v>648</v>
      </c>
      <c r="B31" s="1" t="s">
        <v>0</v>
      </c>
      <c r="C31" s="9">
        <v>46308.449918981481</v>
      </c>
      <c r="D31" s="1" t="s">
        <v>6</v>
      </c>
      <c r="E31" s="1" t="s">
        <v>609</v>
      </c>
      <c r="G31" s="1">
        <v>178801050</v>
      </c>
      <c r="H31" s="1" t="s">
        <v>599</v>
      </c>
      <c r="I31" s="1" t="s">
        <v>610</v>
      </c>
      <c r="J31" s="1" t="s">
        <v>625</v>
      </c>
    </row>
    <row r="32" spans="1:10" x14ac:dyDescent="0.35">
      <c r="A32" s="1" t="s">
        <v>649</v>
      </c>
      <c r="B32" s="1" t="s">
        <v>650</v>
      </c>
      <c r="C32" s="9">
        <v>46308.452719907407</v>
      </c>
      <c r="D32" s="1" t="s">
        <v>6</v>
      </c>
      <c r="E32" s="1" t="s">
        <v>651</v>
      </c>
      <c r="G32" s="1" t="s">
        <v>652</v>
      </c>
      <c r="H32" s="1" t="s">
        <v>653</v>
      </c>
      <c r="I32" s="1" t="s">
        <v>654</v>
      </c>
      <c r="J32" s="1" t="s">
        <v>655</v>
      </c>
    </row>
    <row r="33" spans="1:10" x14ac:dyDescent="0.35">
      <c r="A33" s="1" t="s">
        <v>656</v>
      </c>
      <c r="B33" s="1" t="s">
        <v>650</v>
      </c>
      <c r="C33" s="9">
        <v>46308.452719907407</v>
      </c>
      <c r="D33" s="1" t="s">
        <v>6</v>
      </c>
      <c r="E33" s="1" t="s">
        <v>657</v>
      </c>
      <c r="G33" s="1" t="s">
        <v>658</v>
      </c>
      <c r="H33" s="1" t="s">
        <v>653</v>
      </c>
      <c r="I33" s="1" t="s">
        <v>654</v>
      </c>
      <c r="J33" s="1" t="s">
        <v>659</v>
      </c>
    </row>
    <row r="34" spans="1:10" x14ac:dyDescent="0.35">
      <c r="A34" s="1" t="s">
        <v>660</v>
      </c>
      <c r="B34" s="1" t="s">
        <v>650</v>
      </c>
      <c r="C34" s="9">
        <v>46308.452719907407</v>
      </c>
      <c r="D34" s="1" t="s">
        <v>6</v>
      </c>
      <c r="E34" s="1" t="s">
        <v>661</v>
      </c>
      <c r="G34" s="1" t="s">
        <v>662</v>
      </c>
      <c r="H34" s="1" t="s">
        <v>653</v>
      </c>
      <c r="I34" s="1" t="s">
        <v>654</v>
      </c>
      <c r="J34" s="1" t="s">
        <v>663</v>
      </c>
    </row>
    <row r="35" spans="1:10" x14ac:dyDescent="0.35">
      <c r="A35" s="1" t="s">
        <v>664</v>
      </c>
      <c r="B35" s="1" t="s">
        <v>627</v>
      </c>
      <c r="C35" s="9">
        <v>46308.452719907407</v>
      </c>
      <c r="D35" s="1" t="s">
        <v>6</v>
      </c>
      <c r="E35" s="1" t="s">
        <v>628</v>
      </c>
      <c r="G35" s="1" t="s">
        <v>629</v>
      </c>
      <c r="H35" s="1" t="s">
        <v>630</v>
      </c>
      <c r="I35" s="1" t="s">
        <v>631</v>
      </c>
      <c r="J35" s="1" t="s">
        <v>665</v>
      </c>
    </row>
    <row r="36" spans="1:10" x14ac:dyDescent="0.35">
      <c r="A36" s="1" t="s">
        <v>666</v>
      </c>
      <c r="B36" s="1" t="s">
        <v>638</v>
      </c>
      <c r="C36" s="9">
        <v>46308.452743055554</v>
      </c>
      <c r="D36" s="1" t="s">
        <v>6</v>
      </c>
      <c r="E36" s="1" t="s">
        <v>639</v>
      </c>
      <c r="F36" s="1" t="s">
        <v>667</v>
      </c>
      <c r="G36" s="1" t="s">
        <v>638</v>
      </c>
      <c r="H36" s="1" t="s">
        <v>599</v>
      </c>
      <c r="I36" s="1" t="s">
        <v>641</v>
      </c>
      <c r="J36" s="1" t="s">
        <v>642</v>
      </c>
    </row>
    <row r="37" spans="1:10" x14ac:dyDescent="0.35">
      <c r="A37" s="1" t="s">
        <v>668</v>
      </c>
      <c r="B37" s="1" t="s">
        <v>597</v>
      </c>
      <c r="C37" s="9">
        <v>46308.452743055554</v>
      </c>
      <c r="D37" s="1" t="s">
        <v>6</v>
      </c>
      <c r="E37" s="1" t="s">
        <v>598</v>
      </c>
      <c r="F37" s="1" t="s">
        <v>15</v>
      </c>
      <c r="G37" s="1" t="s">
        <v>17</v>
      </c>
      <c r="H37" s="1" t="s">
        <v>599</v>
      </c>
      <c r="I37" s="1" t="s">
        <v>600</v>
      </c>
      <c r="J37" s="1" t="s">
        <v>601</v>
      </c>
    </row>
    <row r="38" spans="1:10" x14ac:dyDescent="0.35">
      <c r="A38" s="1" t="s">
        <v>669</v>
      </c>
      <c r="B38" s="1" t="s">
        <v>0</v>
      </c>
      <c r="C38" s="9">
        <v>46308.452766203707</v>
      </c>
      <c r="D38" s="1" t="s">
        <v>6</v>
      </c>
      <c r="E38" s="1" t="s">
        <v>609</v>
      </c>
      <c r="G38" s="1">
        <v>178801050</v>
      </c>
      <c r="H38" s="1" t="s">
        <v>599</v>
      </c>
      <c r="I38" s="1" t="s">
        <v>610</v>
      </c>
      <c r="J38" s="1" t="s">
        <v>621</v>
      </c>
    </row>
    <row r="39" spans="1:10" x14ac:dyDescent="0.35">
      <c r="A39" s="1" t="s">
        <v>670</v>
      </c>
      <c r="B39" s="1" t="s">
        <v>0</v>
      </c>
      <c r="C39" s="9">
        <v>46308.452789351853</v>
      </c>
      <c r="D39" s="1" t="s">
        <v>6</v>
      </c>
      <c r="E39" s="1" t="s">
        <v>613</v>
      </c>
      <c r="G39" s="1">
        <v>178801050</v>
      </c>
      <c r="H39" s="1" t="s">
        <v>599</v>
      </c>
      <c r="I39" s="1" t="s">
        <v>614</v>
      </c>
      <c r="J39" s="1" t="s">
        <v>623</v>
      </c>
    </row>
    <row r="40" spans="1:10" x14ac:dyDescent="0.35">
      <c r="A40" s="1" t="s">
        <v>671</v>
      </c>
      <c r="B40" s="1" t="s">
        <v>0</v>
      </c>
      <c r="C40" s="9">
        <v>46308.452789351853</v>
      </c>
      <c r="D40" s="1" t="s">
        <v>6</v>
      </c>
      <c r="E40" s="1" t="s">
        <v>609</v>
      </c>
      <c r="G40" s="1">
        <v>178801050</v>
      </c>
      <c r="H40" s="1" t="s">
        <v>599</v>
      </c>
      <c r="I40" s="1" t="s">
        <v>610</v>
      </c>
      <c r="J40" s="1" t="s">
        <v>625</v>
      </c>
    </row>
    <row r="41" spans="1:10" x14ac:dyDescent="0.35">
      <c r="A41" s="1" t="s">
        <v>672</v>
      </c>
      <c r="B41" s="1" t="s">
        <v>650</v>
      </c>
      <c r="C41" s="9">
        <v>46308.454421296286</v>
      </c>
      <c r="D41" s="1" t="s">
        <v>6</v>
      </c>
      <c r="E41" s="1" t="s">
        <v>651</v>
      </c>
      <c r="G41" s="1" t="s">
        <v>652</v>
      </c>
      <c r="H41" s="1" t="s">
        <v>653</v>
      </c>
      <c r="I41" s="1" t="s">
        <v>654</v>
      </c>
      <c r="J41" s="1" t="s">
        <v>673</v>
      </c>
    </row>
    <row r="42" spans="1:10" x14ac:dyDescent="0.35">
      <c r="A42" s="1" t="s">
        <v>674</v>
      </c>
      <c r="B42" s="1" t="s">
        <v>650</v>
      </c>
      <c r="C42" s="9">
        <v>46308.454432870371</v>
      </c>
      <c r="D42" s="1" t="s">
        <v>6</v>
      </c>
      <c r="E42" s="1" t="s">
        <v>657</v>
      </c>
      <c r="G42" s="1" t="s">
        <v>658</v>
      </c>
      <c r="H42" s="1" t="s">
        <v>653</v>
      </c>
      <c r="I42" s="1" t="s">
        <v>654</v>
      </c>
      <c r="J42" s="1" t="s">
        <v>675</v>
      </c>
    </row>
    <row r="43" spans="1:10" x14ac:dyDescent="0.35">
      <c r="A43" s="1" t="s">
        <v>676</v>
      </c>
      <c r="B43" s="1" t="s">
        <v>650</v>
      </c>
      <c r="C43" s="9">
        <v>46308.454432870371</v>
      </c>
      <c r="D43" s="1" t="s">
        <v>6</v>
      </c>
      <c r="E43" s="1" t="s">
        <v>661</v>
      </c>
      <c r="G43" s="1" t="s">
        <v>662</v>
      </c>
      <c r="H43" s="1" t="s">
        <v>653</v>
      </c>
      <c r="I43" s="1" t="s">
        <v>654</v>
      </c>
      <c r="J43" s="1" t="s">
        <v>677</v>
      </c>
    </row>
    <row r="44" spans="1:10" x14ac:dyDescent="0.35">
      <c r="A44" s="1" t="s">
        <v>678</v>
      </c>
      <c r="B44" s="1" t="s">
        <v>627</v>
      </c>
      <c r="C44" s="9">
        <v>46308.454432870371</v>
      </c>
      <c r="D44" s="1" t="s">
        <v>6</v>
      </c>
      <c r="E44" s="1" t="s">
        <v>628</v>
      </c>
      <c r="G44" s="1" t="s">
        <v>629</v>
      </c>
      <c r="H44" s="1" t="s">
        <v>630</v>
      </c>
      <c r="I44" s="1" t="s">
        <v>631</v>
      </c>
      <c r="J44" s="1" t="s">
        <v>679</v>
      </c>
    </row>
    <row r="45" spans="1:10" x14ac:dyDescent="0.35">
      <c r="A45" s="1" t="s">
        <v>680</v>
      </c>
      <c r="B45" s="1" t="s">
        <v>638</v>
      </c>
      <c r="C45" s="9">
        <v>46308.454456018517</v>
      </c>
      <c r="D45" s="1" t="s">
        <v>6</v>
      </c>
      <c r="E45" s="1" t="s">
        <v>639</v>
      </c>
      <c r="F45" s="1" t="s">
        <v>681</v>
      </c>
      <c r="G45" s="1" t="s">
        <v>638</v>
      </c>
      <c r="H45" s="1" t="s">
        <v>599</v>
      </c>
      <c r="I45" s="1" t="s">
        <v>641</v>
      </c>
      <c r="J45" s="1" t="s">
        <v>642</v>
      </c>
    </row>
    <row r="46" spans="1:10" x14ac:dyDescent="0.35">
      <c r="A46" s="1" t="s">
        <v>682</v>
      </c>
      <c r="B46" s="1" t="s">
        <v>597</v>
      </c>
      <c r="C46" s="9">
        <v>46308.454456018517</v>
      </c>
      <c r="D46" s="1" t="s">
        <v>6</v>
      </c>
      <c r="E46" s="1" t="s">
        <v>598</v>
      </c>
      <c r="F46" s="1" t="s">
        <v>15</v>
      </c>
      <c r="G46" s="1" t="s">
        <v>17</v>
      </c>
      <c r="H46" s="1" t="s">
        <v>599</v>
      </c>
      <c r="I46" s="1" t="s">
        <v>600</v>
      </c>
      <c r="J46" s="1" t="s">
        <v>601</v>
      </c>
    </row>
    <row r="47" spans="1:10" x14ac:dyDescent="0.35">
      <c r="A47" s="1" t="s">
        <v>683</v>
      </c>
      <c r="B47" s="1" t="s">
        <v>0</v>
      </c>
      <c r="C47" s="9">
        <v>46308.454479166663</v>
      </c>
      <c r="D47" s="1" t="s">
        <v>6</v>
      </c>
      <c r="E47" s="1" t="s">
        <v>609</v>
      </c>
      <c r="G47" s="1">
        <v>178801050</v>
      </c>
      <c r="H47" s="1" t="s">
        <v>599</v>
      </c>
      <c r="I47" s="1" t="s">
        <v>610</v>
      </c>
      <c r="J47" s="1" t="s">
        <v>621</v>
      </c>
    </row>
    <row r="48" spans="1:10" x14ac:dyDescent="0.35">
      <c r="A48" s="1" t="s">
        <v>684</v>
      </c>
      <c r="B48" s="1" t="s">
        <v>0</v>
      </c>
      <c r="C48" s="9">
        <v>46308.45449074074</v>
      </c>
      <c r="D48" s="1" t="s">
        <v>6</v>
      </c>
      <c r="E48" s="1" t="s">
        <v>613</v>
      </c>
      <c r="G48" s="1">
        <v>178801050</v>
      </c>
      <c r="H48" s="1" t="s">
        <v>599</v>
      </c>
      <c r="I48" s="1" t="s">
        <v>614</v>
      </c>
      <c r="J48" s="1" t="s">
        <v>623</v>
      </c>
    </row>
    <row r="49" spans="1:10" x14ac:dyDescent="0.35">
      <c r="A49" s="1" t="s">
        <v>685</v>
      </c>
      <c r="B49" s="1" t="s">
        <v>0</v>
      </c>
      <c r="C49" s="9">
        <v>46308.454502314817</v>
      </c>
      <c r="D49" s="1" t="s">
        <v>6</v>
      </c>
      <c r="E49" s="1" t="s">
        <v>609</v>
      </c>
      <c r="G49" s="1">
        <v>178801050</v>
      </c>
      <c r="H49" s="1" t="s">
        <v>599</v>
      </c>
      <c r="I49" s="1" t="s">
        <v>610</v>
      </c>
      <c r="J49" s="1" t="s">
        <v>625</v>
      </c>
    </row>
    <row r="50" spans="1:10" x14ac:dyDescent="0.35">
      <c r="A50" s="1" t="s">
        <v>686</v>
      </c>
      <c r="B50" s="1" t="s">
        <v>597</v>
      </c>
      <c r="C50" s="9">
        <v>46308.461319444446</v>
      </c>
      <c r="D50" s="1" t="s">
        <v>6</v>
      </c>
      <c r="E50" s="1" t="s">
        <v>598</v>
      </c>
      <c r="F50" s="1" t="s">
        <v>15</v>
      </c>
      <c r="G50" s="1" t="s">
        <v>17</v>
      </c>
      <c r="H50" s="1" t="s">
        <v>599</v>
      </c>
      <c r="I50" s="1" t="s">
        <v>600</v>
      </c>
      <c r="J50" s="1" t="s">
        <v>601</v>
      </c>
    </row>
    <row r="51" spans="1:10" x14ac:dyDescent="0.35">
      <c r="A51" s="1" t="s">
        <v>687</v>
      </c>
      <c r="B51" s="1" t="s">
        <v>0</v>
      </c>
      <c r="C51" s="9">
        <v>46308.461342592593</v>
      </c>
      <c r="D51" s="1" t="s">
        <v>6</v>
      </c>
      <c r="E51" s="1" t="s">
        <v>609</v>
      </c>
      <c r="G51" s="1">
        <v>178801050</v>
      </c>
      <c r="H51" s="1" t="s">
        <v>599</v>
      </c>
      <c r="I51" s="1" t="s">
        <v>610</v>
      </c>
      <c r="J51" s="1" t="s">
        <v>621</v>
      </c>
    </row>
    <row r="52" spans="1:10" x14ac:dyDescent="0.35">
      <c r="A52" s="1" t="s">
        <v>688</v>
      </c>
      <c r="B52" s="1" t="s">
        <v>0</v>
      </c>
      <c r="C52" s="9">
        <v>46308.461354166669</v>
      </c>
      <c r="D52" s="1" t="s">
        <v>6</v>
      </c>
      <c r="E52" s="1" t="s">
        <v>613</v>
      </c>
      <c r="G52" s="1">
        <v>178801050</v>
      </c>
      <c r="H52" s="1" t="s">
        <v>599</v>
      </c>
      <c r="I52" s="1" t="s">
        <v>614</v>
      </c>
      <c r="J52" s="1" t="s">
        <v>623</v>
      </c>
    </row>
    <row r="53" spans="1:10" x14ac:dyDescent="0.35">
      <c r="A53" s="1" t="s">
        <v>689</v>
      </c>
      <c r="B53" s="1" t="s">
        <v>0</v>
      </c>
      <c r="C53" s="9">
        <v>46308.461365740739</v>
      </c>
      <c r="D53" s="1" t="s">
        <v>6</v>
      </c>
      <c r="E53" s="1" t="s">
        <v>609</v>
      </c>
      <c r="G53" s="1">
        <v>178801050</v>
      </c>
      <c r="H53" s="1" t="s">
        <v>599</v>
      </c>
      <c r="I53" s="1" t="s">
        <v>610</v>
      </c>
      <c r="J53" s="1" t="s">
        <v>625</v>
      </c>
    </row>
    <row r="54" spans="1:10" x14ac:dyDescent="0.35">
      <c r="A54" s="1" t="s">
        <v>690</v>
      </c>
      <c r="B54" s="1" t="s">
        <v>627</v>
      </c>
      <c r="C54" s="9">
        <v>46308.461365740739</v>
      </c>
      <c r="D54" s="1" t="s">
        <v>6</v>
      </c>
      <c r="E54" s="1" t="s">
        <v>628</v>
      </c>
      <c r="G54" s="1" t="s">
        <v>629</v>
      </c>
      <c r="H54" s="1" t="s">
        <v>630</v>
      </c>
      <c r="I54" s="1" t="s">
        <v>631</v>
      </c>
      <c r="J54" s="1" t="s">
        <v>691</v>
      </c>
    </row>
    <row r="55" spans="1:10" x14ac:dyDescent="0.35">
      <c r="A55" s="1" t="s">
        <v>692</v>
      </c>
      <c r="B55" s="1" t="s">
        <v>638</v>
      </c>
      <c r="C55" s="9">
        <v>46308.461388888893</v>
      </c>
      <c r="D55" s="1" t="s">
        <v>6</v>
      </c>
      <c r="E55" s="1" t="s">
        <v>639</v>
      </c>
      <c r="F55" s="1" t="s">
        <v>693</v>
      </c>
      <c r="G55" s="1" t="s">
        <v>638</v>
      </c>
      <c r="H55" s="1" t="s">
        <v>599</v>
      </c>
      <c r="I55" s="1" t="s">
        <v>641</v>
      </c>
      <c r="J55" s="1" t="s">
        <v>642</v>
      </c>
    </row>
    <row r="56" spans="1:10" x14ac:dyDescent="0.35">
      <c r="A56" s="1" t="s">
        <v>694</v>
      </c>
      <c r="B56" s="1" t="s">
        <v>650</v>
      </c>
      <c r="C56" s="9">
        <v>46308.461435185192</v>
      </c>
      <c r="D56" s="1" t="s">
        <v>6</v>
      </c>
      <c r="E56" s="1" t="s">
        <v>651</v>
      </c>
      <c r="G56" s="1" t="s">
        <v>652</v>
      </c>
      <c r="H56" s="1" t="s">
        <v>653</v>
      </c>
      <c r="I56" s="1" t="s">
        <v>654</v>
      </c>
      <c r="J56" s="1" t="s">
        <v>695</v>
      </c>
    </row>
    <row r="57" spans="1:10" x14ac:dyDescent="0.35">
      <c r="A57" s="1" t="s">
        <v>696</v>
      </c>
      <c r="B57" s="1" t="s">
        <v>650</v>
      </c>
      <c r="C57" s="9">
        <v>46308.461435185192</v>
      </c>
      <c r="D57" s="1" t="s">
        <v>6</v>
      </c>
      <c r="E57" s="1" t="s">
        <v>657</v>
      </c>
      <c r="G57" s="1" t="s">
        <v>658</v>
      </c>
      <c r="H57" s="1" t="s">
        <v>653</v>
      </c>
      <c r="I57" s="1" t="s">
        <v>654</v>
      </c>
      <c r="J57" s="1" t="s">
        <v>697</v>
      </c>
    </row>
    <row r="58" spans="1:10" x14ac:dyDescent="0.35">
      <c r="A58" s="1" t="s">
        <v>698</v>
      </c>
      <c r="B58" s="1" t="s">
        <v>650</v>
      </c>
      <c r="C58" s="9">
        <v>46308.461435185192</v>
      </c>
      <c r="D58" s="1" t="s">
        <v>6</v>
      </c>
      <c r="E58" s="1" t="s">
        <v>661</v>
      </c>
      <c r="G58" s="1" t="s">
        <v>662</v>
      </c>
      <c r="H58" s="1" t="s">
        <v>653</v>
      </c>
      <c r="I58" s="1" t="s">
        <v>654</v>
      </c>
      <c r="J58" s="1" t="s">
        <v>699</v>
      </c>
    </row>
    <row r="59" spans="1:10" x14ac:dyDescent="0.35">
      <c r="A59" s="1" t="s">
        <v>700</v>
      </c>
      <c r="B59" s="1" t="s">
        <v>0</v>
      </c>
      <c r="C59" s="9">
        <v>46308.464895833327</v>
      </c>
      <c r="D59" s="1" t="s">
        <v>6</v>
      </c>
      <c r="E59" s="1" t="s">
        <v>701</v>
      </c>
      <c r="F59" s="1" t="s">
        <v>702</v>
      </c>
      <c r="G59" s="1" t="s">
        <v>3</v>
      </c>
      <c r="H59" s="1" t="s">
        <v>599</v>
      </c>
      <c r="I59" s="1" t="s">
        <v>629</v>
      </c>
      <c r="J59" s="1" t="s">
        <v>703</v>
      </c>
    </row>
    <row r="60" spans="1:10" x14ac:dyDescent="0.35">
      <c r="A60" s="1" t="s">
        <v>704</v>
      </c>
      <c r="B60" s="1" t="s">
        <v>0</v>
      </c>
      <c r="C60" s="9">
        <v>46308.464895833327</v>
      </c>
      <c r="D60" s="1" t="s">
        <v>6</v>
      </c>
      <c r="E60" s="1" t="s">
        <v>701</v>
      </c>
      <c r="F60" s="1" t="s">
        <v>3</v>
      </c>
      <c r="G60" s="1" t="s">
        <v>705</v>
      </c>
      <c r="H60" s="1" t="s">
        <v>599</v>
      </c>
      <c r="I60" s="1" t="s">
        <v>629</v>
      </c>
      <c r="J60" s="1" t="s">
        <v>706</v>
      </c>
    </row>
    <row r="61" spans="1:10" x14ac:dyDescent="0.35">
      <c r="A61" s="1" t="s">
        <v>707</v>
      </c>
      <c r="B61" s="1" t="s">
        <v>0</v>
      </c>
      <c r="C61" s="9">
        <v>46308.464895833327</v>
      </c>
      <c r="D61" s="1" t="s">
        <v>6</v>
      </c>
      <c r="E61" s="1" t="s">
        <v>701</v>
      </c>
      <c r="F61" s="1" t="s">
        <v>705</v>
      </c>
      <c r="G61" s="1" t="s">
        <v>708</v>
      </c>
      <c r="H61" s="1" t="s">
        <v>599</v>
      </c>
      <c r="I61" s="1" t="s">
        <v>629</v>
      </c>
      <c r="J61" s="1" t="s">
        <v>709</v>
      </c>
    </row>
    <row r="62" spans="1:10" x14ac:dyDescent="0.35">
      <c r="A62" s="1" t="s">
        <v>710</v>
      </c>
      <c r="B62" s="1" t="s">
        <v>0</v>
      </c>
      <c r="C62" s="9">
        <v>46308.464895833327</v>
      </c>
      <c r="D62" s="1" t="s">
        <v>6</v>
      </c>
      <c r="E62" s="1" t="s">
        <v>701</v>
      </c>
      <c r="F62" s="1" t="s">
        <v>708</v>
      </c>
      <c r="G62" s="1" t="s">
        <v>711</v>
      </c>
      <c r="H62" s="1" t="s">
        <v>599</v>
      </c>
      <c r="I62" s="1" t="s">
        <v>629</v>
      </c>
      <c r="J62" s="1" t="s">
        <v>712</v>
      </c>
    </row>
    <row r="63" spans="1:10" x14ac:dyDescent="0.35">
      <c r="A63" s="1" t="s">
        <v>713</v>
      </c>
      <c r="B63" s="1" t="s">
        <v>0</v>
      </c>
      <c r="C63" s="9">
        <v>46308.464895833327</v>
      </c>
      <c r="D63" s="1" t="s">
        <v>6</v>
      </c>
      <c r="E63" s="1" t="s">
        <v>714</v>
      </c>
      <c r="F63" s="1" t="s">
        <v>708</v>
      </c>
      <c r="G63" s="1" t="s">
        <v>3</v>
      </c>
      <c r="H63" s="1" t="s">
        <v>599</v>
      </c>
      <c r="I63" s="1" t="s">
        <v>715</v>
      </c>
      <c r="J63" s="1" t="s">
        <v>716</v>
      </c>
    </row>
    <row r="64" spans="1:10" x14ac:dyDescent="0.35">
      <c r="A64" s="1" t="s">
        <v>717</v>
      </c>
      <c r="B64" s="1" t="s">
        <v>597</v>
      </c>
      <c r="C64" s="9">
        <v>46308.464895833327</v>
      </c>
      <c r="D64" s="1" t="s">
        <v>6</v>
      </c>
      <c r="E64" s="1" t="s">
        <v>598</v>
      </c>
      <c r="F64" s="1" t="s">
        <v>15</v>
      </c>
      <c r="G64" s="1" t="s">
        <v>17</v>
      </c>
      <c r="H64" s="1" t="s">
        <v>599</v>
      </c>
      <c r="I64" s="1" t="s">
        <v>600</v>
      </c>
      <c r="J64" s="1" t="s">
        <v>601</v>
      </c>
    </row>
    <row r="65" spans="1:10" x14ac:dyDescent="0.35">
      <c r="A65" s="1" t="s">
        <v>718</v>
      </c>
      <c r="B65" s="1" t="s">
        <v>0</v>
      </c>
      <c r="C65" s="9">
        <v>46308.464930555558</v>
      </c>
      <c r="D65" s="1" t="s">
        <v>6</v>
      </c>
      <c r="E65" s="1" t="s">
        <v>609</v>
      </c>
      <c r="G65" s="1">
        <v>178801050</v>
      </c>
      <c r="H65" s="1" t="s">
        <v>599</v>
      </c>
      <c r="I65" s="1" t="s">
        <v>610</v>
      </c>
      <c r="J65" s="1" t="s">
        <v>621</v>
      </c>
    </row>
    <row r="66" spans="1:10" x14ac:dyDescent="0.35">
      <c r="A66" s="1" t="s">
        <v>719</v>
      </c>
      <c r="B66" s="1" t="s">
        <v>0</v>
      </c>
      <c r="C66" s="9">
        <v>46308.464942129627</v>
      </c>
      <c r="D66" s="1" t="s">
        <v>6</v>
      </c>
      <c r="E66" s="1" t="s">
        <v>613</v>
      </c>
      <c r="G66" s="1">
        <v>178801050</v>
      </c>
      <c r="H66" s="1" t="s">
        <v>599</v>
      </c>
      <c r="I66" s="1" t="s">
        <v>614</v>
      </c>
      <c r="J66" s="1" t="s">
        <v>623</v>
      </c>
    </row>
    <row r="67" spans="1:10" x14ac:dyDescent="0.35">
      <c r="A67" s="1" t="s">
        <v>720</v>
      </c>
      <c r="B67" s="1" t="s">
        <v>0</v>
      </c>
      <c r="C67" s="9">
        <v>46308.464953703697</v>
      </c>
      <c r="D67" s="1" t="s">
        <v>6</v>
      </c>
      <c r="E67" s="1" t="s">
        <v>609</v>
      </c>
      <c r="G67" s="1">
        <v>178801050</v>
      </c>
      <c r="H67" s="1" t="s">
        <v>599</v>
      </c>
      <c r="I67" s="1" t="s">
        <v>610</v>
      </c>
      <c r="J67" s="1" t="s">
        <v>625</v>
      </c>
    </row>
    <row r="68" spans="1:10" x14ac:dyDescent="0.35">
      <c r="A68" s="1" t="s">
        <v>721</v>
      </c>
      <c r="B68" s="1" t="s">
        <v>627</v>
      </c>
      <c r="C68" s="9">
        <v>46308.464953703697</v>
      </c>
      <c r="D68" s="1" t="s">
        <v>6</v>
      </c>
      <c r="E68" s="1" t="s">
        <v>628</v>
      </c>
      <c r="G68" s="1" t="s">
        <v>629</v>
      </c>
      <c r="H68" s="1" t="s">
        <v>630</v>
      </c>
      <c r="I68" s="1" t="s">
        <v>631</v>
      </c>
      <c r="J68" s="1" t="s">
        <v>722</v>
      </c>
    </row>
    <row r="69" spans="1:10" x14ac:dyDescent="0.35">
      <c r="A69" s="1" t="s">
        <v>723</v>
      </c>
      <c r="B69" s="1" t="s">
        <v>638</v>
      </c>
      <c r="C69" s="9">
        <v>46308.464965277781</v>
      </c>
      <c r="D69" s="1" t="s">
        <v>6</v>
      </c>
      <c r="E69" s="1" t="s">
        <v>639</v>
      </c>
      <c r="F69" s="1" t="s">
        <v>724</v>
      </c>
      <c r="G69" s="1" t="s">
        <v>638</v>
      </c>
      <c r="H69" s="1" t="s">
        <v>599</v>
      </c>
      <c r="I69" s="1" t="s">
        <v>641</v>
      </c>
      <c r="J69" s="1" t="s">
        <v>642</v>
      </c>
    </row>
    <row r="70" spans="1:10" x14ac:dyDescent="0.35">
      <c r="A70" s="1" t="s">
        <v>725</v>
      </c>
      <c r="B70" s="1" t="s">
        <v>650</v>
      </c>
      <c r="C70" s="9">
        <v>46308.46502314815</v>
      </c>
      <c r="D70" s="1" t="s">
        <v>6</v>
      </c>
      <c r="E70" s="1" t="s">
        <v>651</v>
      </c>
      <c r="G70" s="1" t="s">
        <v>652</v>
      </c>
      <c r="H70" s="1" t="s">
        <v>653</v>
      </c>
      <c r="I70" s="1" t="s">
        <v>654</v>
      </c>
      <c r="J70" s="1" t="s">
        <v>726</v>
      </c>
    </row>
    <row r="71" spans="1:10" x14ac:dyDescent="0.35">
      <c r="A71" s="1" t="s">
        <v>727</v>
      </c>
      <c r="B71" s="1" t="s">
        <v>650</v>
      </c>
      <c r="C71" s="9">
        <v>46308.46502314815</v>
      </c>
      <c r="D71" s="1" t="s">
        <v>6</v>
      </c>
      <c r="E71" s="1" t="s">
        <v>657</v>
      </c>
      <c r="G71" s="1" t="s">
        <v>658</v>
      </c>
      <c r="H71" s="1" t="s">
        <v>653</v>
      </c>
      <c r="I71" s="1" t="s">
        <v>654</v>
      </c>
      <c r="J71" s="1" t="s">
        <v>728</v>
      </c>
    </row>
    <row r="72" spans="1:10" x14ac:dyDescent="0.35">
      <c r="A72" s="1" t="s">
        <v>729</v>
      </c>
      <c r="B72" s="1" t="s">
        <v>650</v>
      </c>
      <c r="C72" s="9">
        <v>46308.46503472222</v>
      </c>
      <c r="D72" s="1" t="s">
        <v>6</v>
      </c>
      <c r="E72" s="1" t="s">
        <v>661</v>
      </c>
      <c r="G72" s="1" t="s">
        <v>662</v>
      </c>
      <c r="H72" s="1" t="s">
        <v>653</v>
      </c>
      <c r="I72" s="1" t="s">
        <v>654</v>
      </c>
      <c r="J72" s="1" t="s">
        <v>730</v>
      </c>
    </row>
    <row r="73" spans="1:10" x14ac:dyDescent="0.35">
      <c r="A73" s="1" t="s">
        <v>731</v>
      </c>
      <c r="B73" s="1" t="s">
        <v>597</v>
      </c>
      <c r="C73" s="9">
        <v>46308.468715277777</v>
      </c>
      <c r="D73" s="1" t="s">
        <v>6</v>
      </c>
      <c r="E73" s="1" t="s">
        <v>598</v>
      </c>
      <c r="F73" s="1" t="s">
        <v>15</v>
      </c>
      <c r="G73" s="1" t="s">
        <v>17</v>
      </c>
      <c r="H73" s="1" t="s">
        <v>599</v>
      </c>
      <c r="I73" s="1" t="s">
        <v>600</v>
      </c>
      <c r="J73" s="1" t="s">
        <v>601</v>
      </c>
    </row>
    <row r="74" spans="1:10" x14ac:dyDescent="0.35">
      <c r="A74" s="1" t="s">
        <v>732</v>
      </c>
      <c r="B74" s="1" t="s">
        <v>0</v>
      </c>
      <c r="C74" s="9">
        <v>46308.46875</v>
      </c>
      <c r="D74" s="1" t="s">
        <v>6</v>
      </c>
      <c r="E74" s="1" t="s">
        <v>609</v>
      </c>
      <c r="G74" s="1">
        <v>178801050</v>
      </c>
      <c r="H74" s="1" t="s">
        <v>599</v>
      </c>
      <c r="I74" s="1" t="s">
        <v>610</v>
      </c>
      <c r="J74" s="1" t="s">
        <v>621</v>
      </c>
    </row>
    <row r="75" spans="1:10" x14ac:dyDescent="0.35">
      <c r="A75" s="1" t="s">
        <v>733</v>
      </c>
      <c r="B75" s="1" t="s">
        <v>0</v>
      </c>
      <c r="C75" s="9">
        <v>46308.468761574077</v>
      </c>
      <c r="D75" s="1" t="s">
        <v>6</v>
      </c>
      <c r="E75" s="1" t="s">
        <v>613</v>
      </c>
      <c r="G75" s="1">
        <v>178801050</v>
      </c>
      <c r="H75" s="1" t="s">
        <v>599</v>
      </c>
      <c r="I75" s="1" t="s">
        <v>614</v>
      </c>
      <c r="J75" s="1" t="s">
        <v>623</v>
      </c>
    </row>
    <row r="76" spans="1:10" x14ac:dyDescent="0.35">
      <c r="A76" s="1" t="s">
        <v>734</v>
      </c>
      <c r="B76" s="1" t="s">
        <v>0</v>
      </c>
      <c r="C76" s="9">
        <v>46308.468773148154</v>
      </c>
      <c r="D76" s="1" t="s">
        <v>6</v>
      </c>
      <c r="E76" s="1" t="s">
        <v>609</v>
      </c>
      <c r="G76" s="1">
        <v>178801050</v>
      </c>
      <c r="H76" s="1" t="s">
        <v>599</v>
      </c>
      <c r="I76" s="1" t="s">
        <v>610</v>
      </c>
      <c r="J76" s="1" t="s">
        <v>625</v>
      </c>
    </row>
    <row r="77" spans="1:10" x14ac:dyDescent="0.35">
      <c r="A77" s="1" t="s">
        <v>735</v>
      </c>
      <c r="B77" s="1" t="s">
        <v>627</v>
      </c>
      <c r="C77" s="9">
        <v>46308.468773148154</v>
      </c>
      <c r="D77" s="1" t="s">
        <v>6</v>
      </c>
      <c r="E77" s="1" t="s">
        <v>628</v>
      </c>
      <c r="G77" s="1" t="s">
        <v>629</v>
      </c>
      <c r="H77" s="1" t="s">
        <v>630</v>
      </c>
      <c r="I77" s="1" t="s">
        <v>631</v>
      </c>
      <c r="J77" s="1" t="s">
        <v>736</v>
      </c>
    </row>
    <row r="78" spans="1:10" x14ac:dyDescent="0.35">
      <c r="A78" s="1" t="s">
        <v>737</v>
      </c>
      <c r="B78" s="1" t="s">
        <v>638</v>
      </c>
      <c r="C78" s="9">
        <v>46308.468784722223</v>
      </c>
      <c r="D78" s="1" t="s">
        <v>6</v>
      </c>
      <c r="E78" s="1" t="s">
        <v>639</v>
      </c>
      <c r="F78" s="1" t="s">
        <v>738</v>
      </c>
      <c r="G78" s="1" t="s">
        <v>638</v>
      </c>
      <c r="H78" s="1" t="s">
        <v>599</v>
      </c>
      <c r="I78" s="1" t="s">
        <v>641</v>
      </c>
      <c r="J78" s="1" t="s">
        <v>642</v>
      </c>
    </row>
    <row r="79" spans="1:10" x14ac:dyDescent="0.35">
      <c r="A79" s="1" t="s">
        <v>739</v>
      </c>
      <c r="B79" s="1" t="s">
        <v>650</v>
      </c>
      <c r="C79" s="9">
        <v>46308.468831018523</v>
      </c>
      <c r="D79" s="1" t="s">
        <v>6</v>
      </c>
      <c r="E79" s="1" t="s">
        <v>651</v>
      </c>
      <c r="G79" s="1" t="s">
        <v>652</v>
      </c>
      <c r="H79" s="1" t="s">
        <v>653</v>
      </c>
      <c r="I79" s="1" t="s">
        <v>654</v>
      </c>
      <c r="J79" s="1" t="s">
        <v>740</v>
      </c>
    </row>
    <row r="80" spans="1:10" x14ac:dyDescent="0.35">
      <c r="A80" s="1" t="s">
        <v>741</v>
      </c>
      <c r="B80" s="1" t="s">
        <v>650</v>
      </c>
      <c r="C80" s="9">
        <v>46308.468831018523</v>
      </c>
      <c r="D80" s="1" t="s">
        <v>6</v>
      </c>
      <c r="E80" s="1" t="s">
        <v>657</v>
      </c>
      <c r="G80" s="1" t="s">
        <v>658</v>
      </c>
      <c r="H80" s="1" t="s">
        <v>653</v>
      </c>
      <c r="I80" s="1" t="s">
        <v>654</v>
      </c>
      <c r="J80" s="1" t="s">
        <v>742</v>
      </c>
    </row>
    <row r="81" spans="1:10" x14ac:dyDescent="0.35">
      <c r="A81" s="1" t="s">
        <v>743</v>
      </c>
      <c r="B81" s="1" t="s">
        <v>650</v>
      </c>
      <c r="C81" s="9">
        <v>46308.468842592592</v>
      </c>
      <c r="D81" s="1" t="s">
        <v>6</v>
      </c>
      <c r="E81" s="1" t="s">
        <v>661</v>
      </c>
      <c r="G81" s="1" t="s">
        <v>662</v>
      </c>
      <c r="H81" s="1" t="s">
        <v>653</v>
      </c>
      <c r="I81" s="1" t="s">
        <v>654</v>
      </c>
      <c r="J81" s="1" t="s">
        <v>744</v>
      </c>
    </row>
    <row r="82" spans="1:10" x14ac:dyDescent="0.35">
      <c r="A82" s="1" t="s">
        <v>745</v>
      </c>
      <c r="B82" s="1" t="s">
        <v>0</v>
      </c>
      <c r="C82" s="9">
        <v>46308.468842592592</v>
      </c>
      <c r="D82" s="1" t="s">
        <v>6</v>
      </c>
      <c r="E82" s="1" t="s">
        <v>701</v>
      </c>
      <c r="F82" s="1" t="s">
        <v>702</v>
      </c>
      <c r="G82" s="1" t="s">
        <v>3</v>
      </c>
      <c r="H82" s="1" t="s">
        <v>599</v>
      </c>
      <c r="I82" s="1" t="s">
        <v>629</v>
      </c>
      <c r="J82" s="1" t="s">
        <v>703</v>
      </c>
    </row>
    <row r="83" spans="1:10" x14ac:dyDescent="0.35">
      <c r="A83" s="1" t="s">
        <v>746</v>
      </c>
      <c r="B83" s="1" t="s">
        <v>0</v>
      </c>
      <c r="C83" s="9">
        <v>46308.468842592592</v>
      </c>
      <c r="D83" s="1" t="s">
        <v>6</v>
      </c>
      <c r="E83" s="1" t="s">
        <v>701</v>
      </c>
      <c r="F83" s="1" t="s">
        <v>3</v>
      </c>
      <c r="G83" s="1" t="s">
        <v>705</v>
      </c>
      <c r="H83" s="1" t="s">
        <v>599</v>
      </c>
      <c r="I83" s="1" t="s">
        <v>629</v>
      </c>
      <c r="J83" s="1" t="s">
        <v>706</v>
      </c>
    </row>
    <row r="84" spans="1:10" x14ac:dyDescent="0.35">
      <c r="A84" s="1" t="s">
        <v>747</v>
      </c>
      <c r="B84" s="1" t="s">
        <v>0</v>
      </c>
      <c r="C84" s="9">
        <v>46308.468842592592</v>
      </c>
      <c r="D84" s="1" t="s">
        <v>6</v>
      </c>
      <c r="E84" s="1" t="s">
        <v>701</v>
      </c>
      <c r="F84" s="1" t="s">
        <v>705</v>
      </c>
      <c r="G84" s="1" t="s">
        <v>708</v>
      </c>
      <c r="H84" s="1" t="s">
        <v>599</v>
      </c>
      <c r="I84" s="1" t="s">
        <v>629</v>
      </c>
      <c r="J84" s="1" t="s">
        <v>709</v>
      </c>
    </row>
    <row r="85" spans="1:10" x14ac:dyDescent="0.35">
      <c r="A85" s="1" t="s">
        <v>748</v>
      </c>
      <c r="B85" s="1" t="s">
        <v>0</v>
      </c>
      <c r="C85" s="9">
        <v>46308.468842592592</v>
      </c>
      <c r="D85" s="1" t="s">
        <v>6</v>
      </c>
      <c r="E85" s="1" t="s">
        <v>701</v>
      </c>
      <c r="F85" s="1" t="s">
        <v>708</v>
      </c>
      <c r="G85" s="1" t="s">
        <v>711</v>
      </c>
      <c r="H85" s="1" t="s">
        <v>599</v>
      </c>
      <c r="I85" s="1" t="s">
        <v>629</v>
      </c>
      <c r="J85" s="1" t="s">
        <v>712</v>
      </c>
    </row>
    <row r="86" spans="1:10" x14ac:dyDescent="0.35">
      <c r="A86" s="1" t="s">
        <v>749</v>
      </c>
      <c r="B86" s="1" t="s">
        <v>0</v>
      </c>
      <c r="C86" s="9">
        <v>46308.468842592592</v>
      </c>
      <c r="D86" s="1" t="s">
        <v>6</v>
      </c>
      <c r="E86" s="1" t="s">
        <v>714</v>
      </c>
      <c r="F86" s="1" t="s">
        <v>708</v>
      </c>
      <c r="G86" s="1" t="s">
        <v>3</v>
      </c>
      <c r="H86" s="1" t="s">
        <v>599</v>
      </c>
      <c r="I86" s="1" t="s">
        <v>715</v>
      </c>
      <c r="J86" s="1" t="s">
        <v>716</v>
      </c>
    </row>
    <row r="87" spans="1:10" x14ac:dyDescent="0.35">
      <c r="A87" s="1" t="s">
        <v>750</v>
      </c>
      <c r="B87" s="1" t="s">
        <v>597</v>
      </c>
      <c r="C87" s="9">
        <v>46308.471550925933</v>
      </c>
      <c r="D87" s="1" t="s">
        <v>6</v>
      </c>
      <c r="E87" s="1" t="s">
        <v>598</v>
      </c>
      <c r="F87" s="1" t="s">
        <v>15</v>
      </c>
      <c r="G87" s="1" t="s">
        <v>17</v>
      </c>
      <c r="H87" s="1" t="s">
        <v>599</v>
      </c>
      <c r="I87" s="1" t="s">
        <v>600</v>
      </c>
      <c r="J87" s="1" t="s">
        <v>601</v>
      </c>
    </row>
    <row r="88" spans="1:10" x14ac:dyDescent="0.35">
      <c r="A88" s="1" t="s">
        <v>751</v>
      </c>
      <c r="B88" s="1" t="s">
        <v>0</v>
      </c>
      <c r="C88" s="9">
        <v>46308.471585648149</v>
      </c>
      <c r="D88" s="1" t="s">
        <v>6</v>
      </c>
      <c r="E88" s="1" t="s">
        <v>609</v>
      </c>
      <c r="G88" s="1">
        <v>178801050</v>
      </c>
      <c r="H88" s="1" t="s">
        <v>599</v>
      </c>
      <c r="I88" s="1" t="s">
        <v>610</v>
      </c>
      <c r="J88" s="1" t="s">
        <v>621</v>
      </c>
    </row>
    <row r="89" spans="1:10" x14ac:dyDescent="0.35">
      <c r="A89" s="1" t="s">
        <v>752</v>
      </c>
      <c r="B89" s="1" t="s">
        <v>0</v>
      </c>
      <c r="C89" s="9">
        <v>46308.471608796302</v>
      </c>
      <c r="D89" s="1" t="s">
        <v>6</v>
      </c>
      <c r="E89" s="1" t="s">
        <v>613</v>
      </c>
      <c r="G89" s="1">
        <v>178801050</v>
      </c>
      <c r="H89" s="1" t="s">
        <v>599</v>
      </c>
      <c r="I89" s="1" t="s">
        <v>614</v>
      </c>
      <c r="J89" s="1" t="s">
        <v>623</v>
      </c>
    </row>
    <row r="90" spans="1:10" x14ac:dyDescent="0.35">
      <c r="A90" s="1" t="s">
        <v>753</v>
      </c>
      <c r="B90" s="1" t="s">
        <v>0</v>
      </c>
      <c r="C90" s="9">
        <v>46308.471620370372</v>
      </c>
      <c r="D90" s="1" t="s">
        <v>6</v>
      </c>
      <c r="E90" s="1" t="s">
        <v>609</v>
      </c>
      <c r="G90" s="1">
        <v>178801050</v>
      </c>
      <c r="H90" s="1" t="s">
        <v>599</v>
      </c>
      <c r="I90" s="1" t="s">
        <v>610</v>
      </c>
      <c r="J90" s="1" t="s">
        <v>625</v>
      </c>
    </row>
    <row r="91" spans="1:10" x14ac:dyDescent="0.35">
      <c r="A91" s="1" t="s">
        <v>754</v>
      </c>
      <c r="B91" s="1" t="s">
        <v>627</v>
      </c>
      <c r="C91" s="9">
        <v>46308.471620370372</v>
      </c>
      <c r="D91" s="1" t="s">
        <v>6</v>
      </c>
      <c r="E91" s="1" t="s">
        <v>628</v>
      </c>
      <c r="G91" s="1" t="s">
        <v>629</v>
      </c>
      <c r="H91" s="1" t="s">
        <v>630</v>
      </c>
      <c r="I91" s="1" t="s">
        <v>631</v>
      </c>
      <c r="J91" s="1" t="s">
        <v>755</v>
      </c>
    </row>
    <row r="92" spans="1:10" x14ac:dyDescent="0.35">
      <c r="A92" s="1" t="s">
        <v>756</v>
      </c>
      <c r="B92" s="1" t="s">
        <v>638</v>
      </c>
      <c r="C92" s="9">
        <v>46308.471643518518</v>
      </c>
      <c r="D92" s="1" t="s">
        <v>6</v>
      </c>
      <c r="E92" s="1" t="s">
        <v>639</v>
      </c>
      <c r="F92" s="1" t="s">
        <v>757</v>
      </c>
      <c r="G92" s="1" t="s">
        <v>638</v>
      </c>
      <c r="H92" s="1" t="s">
        <v>599</v>
      </c>
      <c r="I92" s="1" t="s">
        <v>641</v>
      </c>
      <c r="J92" s="1" t="s">
        <v>642</v>
      </c>
    </row>
    <row r="93" spans="1:10" x14ac:dyDescent="0.35">
      <c r="A93" s="1" t="s">
        <v>758</v>
      </c>
      <c r="B93" s="1" t="s">
        <v>650</v>
      </c>
      <c r="C93" s="9">
        <v>46308.471689814818</v>
      </c>
      <c r="D93" s="1" t="s">
        <v>6</v>
      </c>
      <c r="E93" s="1" t="s">
        <v>651</v>
      </c>
      <c r="G93" s="1" t="s">
        <v>652</v>
      </c>
      <c r="H93" s="1" t="s">
        <v>653</v>
      </c>
      <c r="I93" s="1" t="s">
        <v>654</v>
      </c>
      <c r="J93" s="1" t="s">
        <v>759</v>
      </c>
    </row>
    <row r="94" spans="1:10" x14ac:dyDescent="0.35">
      <c r="A94" s="1" t="s">
        <v>760</v>
      </c>
      <c r="B94" s="1" t="s">
        <v>650</v>
      </c>
      <c r="C94" s="9">
        <v>46308.471689814818</v>
      </c>
      <c r="D94" s="1" t="s">
        <v>6</v>
      </c>
      <c r="E94" s="1" t="s">
        <v>657</v>
      </c>
      <c r="G94" s="1" t="s">
        <v>658</v>
      </c>
      <c r="H94" s="1" t="s">
        <v>653</v>
      </c>
      <c r="I94" s="1" t="s">
        <v>654</v>
      </c>
      <c r="J94" s="1" t="s">
        <v>761</v>
      </c>
    </row>
    <row r="95" spans="1:10" x14ac:dyDescent="0.35">
      <c r="A95" s="1" t="s">
        <v>762</v>
      </c>
      <c r="B95" s="1" t="s">
        <v>650</v>
      </c>
      <c r="C95" s="9">
        <v>46308.471689814818</v>
      </c>
      <c r="D95" s="1" t="s">
        <v>6</v>
      </c>
      <c r="E95" s="1" t="s">
        <v>661</v>
      </c>
      <c r="G95" s="1" t="s">
        <v>662</v>
      </c>
      <c r="H95" s="1" t="s">
        <v>653</v>
      </c>
      <c r="I95" s="1" t="s">
        <v>654</v>
      </c>
      <c r="J95" s="1" t="s">
        <v>763</v>
      </c>
    </row>
    <row r="96" spans="1:10" x14ac:dyDescent="0.35">
      <c r="A96" s="1" t="s">
        <v>764</v>
      </c>
      <c r="B96" s="1" t="s">
        <v>0</v>
      </c>
      <c r="C96" s="9">
        <v>46308.471689814818</v>
      </c>
      <c r="D96" s="1" t="s">
        <v>6</v>
      </c>
      <c r="E96" s="1" t="s">
        <v>701</v>
      </c>
      <c r="F96" s="1" t="s">
        <v>702</v>
      </c>
      <c r="G96" s="1" t="s">
        <v>3</v>
      </c>
      <c r="H96" s="1" t="s">
        <v>599</v>
      </c>
      <c r="I96" s="1" t="s">
        <v>629</v>
      </c>
      <c r="J96" s="1" t="s">
        <v>703</v>
      </c>
    </row>
    <row r="97" spans="1:10" x14ac:dyDescent="0.35">
      <c r="A97" s="1" t="s">
        <v>765</v>
      </c>
      <c r="B97" s="1" t="s">
        <v>0</v>
      </c>
      <c r="C97" s="9">
        <v>46308.471689814818</v>
      </c>
      <c r="D97" s="1" t="s">
        <v>6</v>
      </c>
      <c r="E97" s="1" t="s">
        <v>701</v>
      </c>
      <c r="F97" s="1" t="s">
        <v>3</v>
      </c>
      <c r="G97" s="1" t="s">
        <v>705</v>
      </c>
      <c r="H97" s="1" t="s">
        <v>599</v>
      </c>
      <c r="I97" s="1" t="s">
        <v>629</v>
      </c>
      <c r="J97" s="1" t="s">
        <v>706</v>
      </c>
    </row>
    <row r="98" spans="1:10" x14ac:dyDescent="0.35">
      <c r="A98" s="1" t="s">
        <v>766</v>
      </c>
      <c r="B98" s="1" t="s">
        <v>0</v>
      </c>
      <c r="C98" s="9">
        <v>46308.471689814818</v>
      </c>
      <c r="D98" s="1" t="s">
        <v>6</v>
      </c>
      <c r="E98" s="1" t="s">
        <v>701</v>
      </c>
      <c r="F98" s="1" t="s">
        <v>705</v>
      </c>
      <c r="G98" s="1" t="s">
        <v>708</v>
      </c>
      <c r="H98" s="1" t="s">
        <v>599</v>
      </c>
      <c r="I98" s="1" t="s">
        <v>629</v>
      </c>
      <c r="J98" s="1" t="s">
        <v>709</v>
      </c>
    </row>
    <row r="99" spans="1:10" x14ac:dyDescent="0.35">
      <c r="A99" s="1" t="s">
        <v>767</v>
      </c>
      <c r="B99" s="1" t="s">
        <v>0</v>
      </c>
      <c r="C99" s="9">
        <v>46308.471689814818</v>
      </c>
      <c r="D99" s="1" t="s">
        <v>6</v>
      </c>
      <c r="E99" s="1" t="s">
        <v>701</v>
      </c>
      <c r="F99" s="1" t="s">
        <v>708</v>
      </c>
      <c r="G99" s="1" t="s">
        <v>711</v>
      </c>
      <c r="H99" s="1" t="s">
        <v>599</v>
      </c>
      <c r="I99" s="1" t="s">
        <v>629</v>
      </c>
      <c r="J99" s="1" t="s">
        <v>712</v>
      </c>
    </row>
    <row r="100" spans="1:10" x14ac:dyDescent="0.35">
      <c r="A100" s="1" t="s">
        <v>768</v>
      </c>
      <c r="B100" s="1" t="s">
        <v>0</v>
      </c>
      <c r="C100" s="9">
        <v>46308.471689814818</v>
      </c>
      <c r="D100" s="1" t="s">
        <v>6</v>
      </c>
      <c r="E100" s="1" t="s">
        <v>714</v>
      </c>
      <c r="F100" s="1" t="s">
        <v>708</v>
      </c>
      <c r="G100" s="1" t="s">
        <v>3</v>
      </c>
      <c r="H100" s="1" t="s">
        <v>599</v>
      </c>
      <c r="I100" s="1" t="s">
        <v>715</v>
      </c>
      <c r="J100" s="1" t="s">
        <v>716</v>
      </c>
    </row>
    <row r="101" spans="1:10" x14ac:dyDescent="0.35">
      <c r="A101" s="1" t="s">
        <v>769</v>
      </c>
      <c r="B101" s="1" t="s">
        <v>597</v>
      </c>
      <c r="C101" s="9">
        <v>46308.476226851853</v>
      </c>
      <c r="D101" s="1" t="s">
        <v>6</v>
      </c>
      <c r="E101" s="1" t="s">
        <v>598</v>
      </c>
      <c r="F101" s="1" t="s">
        <v>15</v>
      </c>
      <c r="G101" s="1" t="s">
        <v>17</v>
      </c>
      <c r="H101" s="1" t="s">
        <v>599</v>
      </c>
      <c r="I101" s="1" t="s">
        <v>600</v>
      </c>
      <c r="J101" s="1" t="s">
        <v>601</v>
      </c>
    </row>
    <row r="102" spans="1:10" x14ac:dyDescent="0.35">
      <c r="A102" s="1" t="s">
        <v>770</v>
      </c>
      <c r="B102" s="1" t="s">
        <v>0</v>
      </c>
      <c r="C102" s="9">
        <v>46308.47625</v>
      </c>
      <c r="D102" s="1" t="s">
        <v>6</v>
      </c>
      <c r="E102" s="1" t="s">
        <v>609</v>
      </c>
      <c r="G102" s="1">
        <v>178801050</v>
      </c>
      <c r="H102" s="1" t="s">
        <v>599</v>
      </c>
      <c r="I102" s="1" t="s">
        <v>610</v>
      </c>
      <c r="J102" s="1" t="s">
        <v>621</v>
      </c>
    </row>
    <row r="103" spans="1:10" x14ac:dyDescent="0.35">
      <c r="A103" s="1" t="s">
        <v>771</v>
      </c>
      <c r="B103" s="1" t="s">
        <v>0</v>
      </c>
      <c r="C103" s="9">
        <v>46308.476273148153</v>
      </c>
      <c r="D103" s="1" t="s">
        <v>6</v>
      </c>
      <c r="E103" s="1" t="s">
        <v>613</v>
      </c>
      <c r="G103" s="1">
        <v>178801050</v>
      </c>
      <c r="H103" s="1" t="s">
        <v>599</v>
      </c>
      <c r="I103" s="1" t="s">
        <v>614</v>
      </c>
      <c r="J103" s="1" t="s">
        <v>623</v>
      </c>
    </row>
    <row r="104" spans="1:10" x14ac:dyDescent="0.35">
      <c r="A104" s="1" t="s">
        <v>772</v>
      </c>
      <c r="B104" s="1" t="s">
        <v>0</v>
      </c>
      <c r="C104" s="9">
        <v>46308.476284722223</v>
      </c>
      <c r="D104" s="1" t="s">
        <v>6</v>
      </c>
      <c r="E104" s="1" t="s">
        <v>609</v>
      </c>
      <c r="G104" s="1">
        <v>178801050</v>
      </c>
      <c r="H104" s="1" t="s">
        <v>599</v>
      </c>
      <c r="I104" s="1" t="s">
        <v>610</v>
      </c>
      <c r="J104" s="1" t="s">
        <v>625</v>
      </c>
    </row>
    <row r="105" spans="1:10" x14ac:dyDescent="0.35">
      <c r="A105" s="1" t="s">
        <v>773</v>
      </c>
      <c r="B105" s="1" t="s">
        <v>627</v>
      </c>
      <c r="C105" s="9">
        <v>46308.476284722223</v>
      </c>
      <c r="D105" s="1" t="s">
        <v>6</v>
      </c>
      <c r="E105" s="1" t="s">
        <v>628</v>
      </c>
      <c r="G105" s="1" t="s">
        <v>629</v>
      </c>
      <c r="H105" s="1" t="s">
        <v>630</v>
      </c>
      <c r="I105" s="1" t="s">
        <v>631</v>
      </c>
      <c r="J105" s="1" t="s">
        <v>774</v>
      </c>
    </row>
    <row r="106" spans="1:10" x14ac:dyDescent="0.35">
      <c r="A106" s="1" t="s">
        <v>775</v>
      </c>
      <c r="B106" s="1" t="s">
        <v>638</v>
      </c>
      <c r="C106" s="9">
        <v>46308.476307870369</v>
      </c>
      <c r="D106" s="1" t="s">
        <v>6</v>
      </c>
      <c r="E106" s="1" t="s">
        <v>639</v>
      </c>
      <c r="F106" s="1" t="s">
        <v>776</v>
      </c>
      <c r="G106" s="1" t="s">
        <v>638</v>
      </c>
      <c r="H106" s="1" t="s">
        <v>599</v>
      </c>
      <c r="I106" s="1" t="s">
        <v>641</v>
      </c>
      <c r="J106" s="1" t="s">
        <v>642</v>
      </c>
    </row>
    <row r="107" spans="1:10" x14ac:dyDescent="0.35">
      <c r="A107" s="1" t="s">
        <v>777</v>
      </c>
      <c r="B107" s="1" t="s">
        <v>650</v>
      </c>
      <c r="C107" s="9">
        <v>46308.476354166669</v>
      </c>
      <c r="D107" s="1" t="s">
        <v>6</v>
      </c>
      <c r="E107" s="1" t="s">
        <v>651</v>
      </c>
      <c r="G107" s="1" t="s">
        <v>652</v>
      </c>
      <c r="H107" s="1" t="s">
        <v>653</v>
      </c>
      <c r="I107" s="1" t="s">
        <v>654</v>
      </c>
      <c r="J107" s="1" t="s">
        <v>778</v>
      </c>
    </row>
    <row r="108" spans="1:10" x14ac:dyDescent="0.35">
      <c r="A108" s="1" t="s">
        <v>779</v>
      </c>
      <c r="B108" s="1" t="s">
        <v>650</v>
      </c>
      <c r="C108" s="9">
        <v>46308.476354166669</v>
      </c>
      <c r="D108" s="1" t="s">
        <v>6</v>
      </c>
      <c r="E108" s="1" t="s">
        <v>657</v>
      </c>
      <c r="G108" s="1" t="s">
        <v>658</v>
      </c>
      <c r="H108" s="1" t="s">
        <v>653</v>
      </c>
      <c r="I108" s="1" t="s">
        <v>654</v>
      </c>
      <c r="J108" s="1" t="s">
        <v>780</v>
      </c>
    </row>
    <row r="109" spans="1:10" x14ac:dyDescent="0.35">
      <c r="A109" s="1" t="s">
        <v>781</v>
      </c>
      <c r="B109" s="1" t="s">
        <v>650</v>
      </c>
      <c r="C109" s="9">
        <v>46308.476354166669</v>
      </c>
      <c r="D109" s="1" t="s">
        <v>6</v>
      </c>
      <c r="E109" s="1" t="s">
        <v>661</v>
      </c>
      <c r="G109" s="1" t="s">
        <v>662</v>
      </c>
      <c r="H109" s="1" t="s">
        <v>653</v>
      </c>
      <c r="I109" s="1" t="s">
        <v>654</v>
      </c>
      <c r="J109" s="1" t="s">
        <v>782</v>
      </c>
    </row>
    <row r="110" spans="1:10" x14ac:dyDescent="0.35">
      <c r="A110" s="1" t="s">
        <v>783</v>
      </c>
      <c r="B110" s="1" t="s">
        <v>0</v>
      </c>
      <c r="C110" s="9">
        <v>46308.476354166669</v>
      </c>
      <c r="D110" s="1" t="s">
        <v>6</v>
      </c>
      <c r="E110" s="1" t="s">
        <v>701</v>
      </c>
      <c r="F110" s="1" t="s">
        <v>702</v>
      </c>
      <c r="G110" s="1" t="s">
        <v>3</v>
      </c>
      <c r="H110" s="1" t="s">
        <v>599</v>
      </c>
      <c r="I110" s="1" t="s">
        <v>629</v>
      </c>
      <c r="J110" s="1" t="s">
        <v>703</v>
      </c>
    </row>
    <row r="111" spans="1:10" x14ac:dyDescent="0.35">
      <c r="A111" s="1" t="s">
        <v>784</v>
      </c>
      <c r="B111" s="1" t="s">
        <v>0</v>
      </c>
      <c r="C111" s="9">
        <v>46308.476354166669</v>
      </c>
      <c r="D111" s="1" t="s">
        <v>6</v>
      </c>
      <c r="E111" s="1" t="s">
        <v>701</v>
      </c>
      <c r="F111" s="1" t="s">
        <v>3</v>
      </c>
      <c r="G111" s="1" t="s">
        <v>705</v>
      </c>
      <c r="H111" s="1" t="s">
        <v>599</v>
      </c>
      <c r="I111" s="1" t="s">
        <v>629</v>
      </c>
      <c r="J111" s="1" t="s">
        <v>706</v>
      </c>
    </row>
    <row r="112" spans="1:10" x14ac:dyDescent="0.35">
      <c r="A112" s="1" t="s">
        <v>785</v>
      </c>
      <c r="B112" s="1" t="s">
        <v>0</v>
      </c>
      <c r="C112" s="9">
        <v>46308.476354166669</v>
      </c>
      <c r="D112" s="1" t="s">
        <v>6</v>
      </c>
      <c r="E112" s="1" t="s">
        <v>701</v>
      </c>
      <c r="F112" s="1" t="s">
        <v>705</v>
      </c>
      <c r="G112" s="1" t="s">
        <v>708</v>
      </c>
      <c r="H112" s="1" t="s">
        <v>599</v>
      </c>
      <c r="I112" s="1" t="s">
        <v>629</v>
      </c>
      <c r="J112" s="1" t="s">
        <v>709</v>
      </c>
    </row>
    <row r="113" spans="1:10" x14ac:dyDescent="0.35">
      <c r="A113" s="1" t="s">
        <v>786</v>
      </c>
      <c r="B113" s="1" t="s">
        <v>0</v>
      </c>
      <c r="C113" s="9">
        <v>46308.476354166669</v>
      </c>
      <c r="D113" s="1" t="s">
        <v>6</v>
      </c>
      <c r="E113" s="1" t="s">
        <v>701</v>
      </c>
      <c r="F113" s="1" t="s">
        <v>708</v>
      </c>
      <c r="G113" s="1" t="s">
        <v>711</v>
      </c>
      <c r="H113" s="1" t="s">
        <v>599</v>
      </c>
      <c r="I113" s="1" t="s">
        <v>629</v>
      </c>
      <c r="J113" s="1" t="s">
        <v>712</v>
      </c>
    </row>
    <row r="114" spans="1:10" x14ac:dyDescent="0.35">
      <c r="A114" s="1" t="s">
        <v>787</v>
      </c>
      <c r="B114" s="1" t="s">
        <v>0</v>
      </c>
      <c r="C114" s="9">
        <v>46308.476354166669</v>
      </c>
      <c r="D114" s="1" t="s">
        <v>6</v>
      </c>
      <c r="E114" s="1" t="s">
        <v>714</v>
      </c>
      <c r="F114" s="1" t="s">
        <v>708</v>
      </c>
      <c r="G114" s="1" t="s">
        <v>3</v>
      </c>
      <c r="H114" s="1" t="s">
        <v>599</v>
      </c>
      <c r="I114" s="1" t="s">
        <v>715</v>
      </c>
      <c r="J114" s="1" t="s">
        <v>716</v>
      </c>
    </row>
    <row r="115" spans="1:10" x14ac:dyDescent="0.35">
      <c r="A115" s="1" t="s">
        <v>788</v>
      </c>
      <c r="B115" s="1" t="s">
        <v>597</v>
      </c>
      <c r="C115" s="9">
        <v>46308.476354166669</v>
      </c>
      <c r="D115" s="1" t="s">
        <v>6</v>
      </c>
      <c r="E115" s="1" t="s">
        <v>598</v>
      </c>
      <c r="F115" s="1" t="s">
        <v>15</v>
      </c>
      <c r="G115" s="1" t="s">
        <v>17</v>
      </c>
      <c r="H115" s="1" t="s">
        <v>599</v>
      </c>
      <c r="I115" s="1" t="s">
        <v>600</v>
      </c>
      <c r="J115" s="1" t="s">
        <v>601</v>
      </c>
    </row>
    <row r="116" spans="1:10" x14ac:dyDescent="0.35">
      <c r="A116" s="1" t="s">
        <v>789</v>
      </c>
      <c r="B116" s="1" t="s">
        <v>0</v>
      </c>
      <c r="C116" s="9">
        <v>46308.476388888892</v>
      </c>
      <c r="D116" s="1" t="s">
        <v>6</v>
      </c>
      <c r="E116" s="1" t="s">
        <v>609</v>
      </c>
      <c r="G116" s="1">
        <v>178801050</v>
      </c>
      <c r="H116" s="1" t="s">
        <v>599</v>
      </c>
      <c r="I116" s="1" t="s">
        <v>610</v>
      </c>
      <c r="J116" s="1" t="s">
        <v>621</v>
      </c>
    </row>
    <row r="117" spans="1:10" x14ac:dyDescent="0.35">
      <c r="A117" s="1" t="s">
        <v>790</v>
      </c>
      <c r="B117" s="1" t="s">
        <v>0</v>
      </c>
      <c r="C117" s="9">
        <v>46308.476412037038</v>
      </c>
      <c r="D117" s="1" t="s">
        <v>6</v>
      </c>
      <c r="E117" s="1" t="s">
        <v>613</v>
      </c>
      <c r="G117" s="1">
        <v>178801050</v>
      </c>
      <c r="H117" s="1" t="s">
        <v>599</v>
      </c>
      <c r="I117" s="1" t="s">
        <v>614</v>
      </c>
      <c r="J117" s="1" t="s">
        <v>623</v>
      </c>
    </row>
    <row r="118" spans="1:10" x14ac:dyDescent="0.35">
      <c r="A118" s="1" t="s">
        <v>791</v>
      </c>
      <c r="B118" s="1" t="s">
        <v>0</v>
      </c>
      <c r="C118" s="9">
        <v>46308.476423611108</v>
      </c>
      <c r="D118" s="1" t="s">
        <v>6</v>
      </c>
      <c r="E118" s="1" t="s">
        <v>609</v>
      </c>
      <c r="G118" s="1">
        <v>178801050</v>
      </c>
      <c r="H118" s="1" t="s">
        <v>599</v>
      </c>
      <c r="I118" s="1" t="s">
        <v>610</v>
      </c>
      <c r="J118" s="1" t="s">
        <v>625</v>
      </c>
    </row>
    <row r="119" spans="1:10" x14ac:dyDescent="0.35">
      <c r="A119" s="1" t="s">
        <v>792</v>
      </c>
      <c r="B119" s="1" t="s">
        <v>627</v>
      </c>
      <c r="C119" s="9">
        <v>46308.476423611108</v>
      </c>
      <c r="D119" s="1" t="s">
        <v>6</v>
      </c>
      <c r="E119" s="1" t="s">
        <v>628</v>
      </c>
      <c r="G119" s="1" t="s">
        <v>629</v>
      </c>
      <c r="H119" s="1" t="s">
        <v>630</v>
      </c>
      <c r="I119" s="1" t="s">
        <v>631</v>
      </c>
      <c r="J119" s="1" t="s">
        <v>793</v>
      </c>
    </row>
    <row r="120" spans="1:10" x14ac:dyDescent="0.35">
      <c r="A120" s="1" t="s">
        <v>794</v>
      </c>
      <c r="B120" s="1" t="s">
        <v>638</v>
      </c>
      <c r="C120" s="9">
        <v>46308.476435185177</v>
      </c>
      <c r="D120" s="1" t="s">
        <v>6</v>
      </c>
      <c r="E120" s="1" t="s">
        <v>639</v>
      </c>
      <c r="F120" s="1" t="s">
        <v>795</v>
      </c>
      <c r="G120" s="1" t="s">
        <v>638</v>
      </c>
      <c r="H120" s="1" t="s">
        <v>599</v>
      </c>
      <c r="I120" s="1" t="s">
        <v>641</v>
      </c>
      <c r="J120" s="1" t="s">
        <v>642</v>
      </c>
    </row>
    <row r="121" spans="1:10" x14ac:dyDescent="0.35">
      <c r="A121" s="1" t="s">
        <v>796</v>
      </c>
      <c r="B121" s="1" t="s">
        <v>650</v>
      </c>
      <c r="C121" s="9">
        <v>46308.476446759261</v>
      </c>
      <c r="D121" s="1" t="s">
        <v>6</v>
      </c>
      <c r="E121" s="1" t="s">
        <v>651</v>
      </c>
      <c r="G121" s="1" t="s">
        <v>652</v>
      </c>
      <c r="H121" s="1" t="s">
        <v>653</v>
      </c>
      <c r="I121" s="1" t="s">
        <v>654</v>
      </c>
      <c r="J121" s="1" t="s">
        <v>797</v>
      </c>
    </row>
    <row r="122" spans="1:10" x14ac:dyDescent="0.35">
      <c r="A122" s="1" t="s">
        <v>798</v>
      </c>
      <c r="B122" s="1" t="s">
        <v>650</v>
      </c>
      <c r="C122" s="9">
        <v>46308.476446759261</v>
      </c>
      <c r="D122" s="1" t="s">
        <v>6</v>
      </c>
      <c r="E122" s="1" t="s">
        <v>657</v>
      </c>
      <c r="G122" s="1" t="s">
        <v>658</v>
      </c>
      <c r="H122" s="1" t="s">
        <v>653</v>
      </c>
      <c r="I122" s="1" t="s">
        <v>654</v>
      </c>
      <c r="J122" s="1" t="s">
        <v>799</v>
      </c>
    </row>
    <row r="123" spans="1:10" x14ac:dyDescent="0.35">
      <c r="A123" s="1" t="s">
        <v>800</v>
      </c>
      <c r="B123" s="1" t="s">
        <v>650</v>
      </c>
      <c r="C123" s="9">
        <v>46308.476446759261</v>
      </c>
      <c r="D123" s="1" t="s">
        <v>6</v>
      </c>
      <c r="E123" s="1" t="s">
        <v>661</v>
      </c>
      <c r="G123" s="1" t="s">
        <v>662</v>
      </c>
      <c r="H123" s="1" t="s">
        <v>653</v>
      </c>
      <c r="I123" s="1" t="s">
        <v>654</v>
      </c>
      <c r="J123" s="1" t="s">
        <v>801</v>
      </c>
    </row>
    <row r="124" spans="1:10" x14ac:dyDescent="0.35">
      <c r="A124" s="1" t="s">
        <v>802</v>
      </c>
      <c r="B124" s="1" t="s">
        <v>0</v>
      </c>
      <c r="C124" s="9">
        <v>46308.476446759261</v>
      </c>
      <c r="D124" s="1" t="s">
        <v>6</v>
      </c>
      <c r="E124" s="1" t="s">
        <v>701</v>
      </c>
      <c r="F124" s="1" t="s">
        <v>702</v>
      </c>
      <c r="G124" s="1" t="s">
        <v>3</v>
      </c>
      <c r="H124" s="1" t="s">
        <v>599</v>
      </c>
      <c r="I124" s="1" t="s">
        <v>629</v>
      </c>
      <c r="J124" s="1" t="s">
        <v>703</v>
      </c>
    </row>
    <row r="125" spans="1:10" x14ac:dyDescent="0.35">
      <c r="A125" s="1" t="s">
        <v>803</v>
      </c>
      <c r="B125" s="1" t="s">
        <v>0</v>
      </c>
      <c r="C125" s="9">
        <v>46308.476446759261</v>
      </c>
      <c r="D125" s="1" t="s">
        <v>6</v>
      </c>
      <c r="E125" s="1" t="s">
        <v>701</v>
      </c>
      <c r="F125" s="1" t="s">
        <v>3</v>
      </c>
      <c r="G125" s="1" t="s">
        <v>705</v>
      </c>
      <c r="H125" s="1" t="s">
        <v>599</v>
      </c>
      <c r="I125" s="1" t="s">
        <v>629</v>
      </c>
      <c r="J125" s="1" t="s">
        <v>706</v>
      </c>
    </row>
    <row r="126" spans="1:10" x14ac:dyDescent="0.35">
      <c r="A126" s="1" t="s">
        <v>804</v>
      </c>
      <c r="B126" s="1" t="s">
        <v>0</v>
      </c>
      <c r="C126" s="9">
        <v>46308.476446759261</v>
      </c>
      <c r="D126" s="1" t="s">
        <v>6</v>
      </c>
      <c r="E126" s="1" t="s">
        <v>701</v>
      </c>
      <c r="F126" s="1" t="s">
        <v>705</v>
      </c>
      <c r="G126" s="1" t="s">
        <v>708</v>
      </c>
      <c r="H126" s="1" t="s">
        <v>599</v>
      </c>
      <c r="I126" s="1" t="s">
        <v>629</v>
      </c>
      <c r="J126" s="1" t="s">
        <v>709</v>
      </c>
    </row>
    <row r="127" spans="1:10" x14ac:dyDescent="0.35">
      <c r="A127" s="1" t="s">
        <v>805</v>
      </c>
      <c r="B127" s="1" t="s">
        <v>0</v>
      </c>
      <c r="C127" s="9">
        <v>46308.476446759261</v>
      </c>
      <c r="D127" s="1" t="s">
        <v>6</v>
      </c>
      <c r="E127" s="1" t="s">
        <v>701</v>
      </c>
      <c r="F127" s="1" t="s">
        <v>708</v>
      </c>
      <c r="G127" s="1" t="s">
        <v>711</v>
      </c>
      <c r="H127" s="1" t="s">
        <v>599</v>
      </c>
      <c r="I127" s="1" t="s">
        <v>629</v>
      </c>
      <c r="J127" s="1" t="s">
        <v>712</v>
      </c>
    </row>
    <row r="128" spans="1:10" x14ac:dyDescent="0.35">
      <c r="A128" s="1" t="s">
        <v>806</v>
      </c>
      <c r="B128" s="1" t="s">
        <v>0</v>
      </c>
      <c r="C128" s="9">
        <v>46308.476446759261</v>
      </c>
      <c r="D128" s="1" t="s">
        <v>6</v>
      </c>
      <c r="E128" s="1" t="s">
        <v>714</v>
      </c>
      <c r="F128" s="1" t="s">
        <v>708</v>
      </c>
      <c r="G128" s="1" t="s">
        <v>3</v>
      </c>
      <c r="H128" s="1" t="s">
        <v>599</v>
      </c>
      <c r="I128" s="1" t="s">
        <v>715</v>
      </c>
      <c r="J128" s="1" t="s">
        <v>716</v>
      </c>
    </row>
    <row r="129" spans="1:10" x14ac:dyDescent="0.35">
      <c r="A129" s="1" t="s">
        <v>807</v>
      </c>
      <c r="B129" s="1" t="s">
        <v>597</v>
      </c>
      <c r="C129" s="9">
        <v>46308.483703703707</v>
      </c>
      <c r="D129" s="1" t="s">
        <v>6</v>
      </c>
      <c r="E129" s="1" t="s">
        <v>598</v>
      </c>
      <c r="F129" s="1" t="s">
        <v>15</v>
      </c>
      <c r="G129" s="1" t="s">
        <v>17</v>
      </c>
      <c r="H129" s="1" t="s">
        <v>599</v>
      </c>
      <c r="I129" s="1" t="s">
        <v>600</v>
      </c>
      <c r="J129" s="1" t="s">
        <v>601</v>
      </c>
    </row>
    <row r="130" spans="1:10" x14ac:dyDescent="0.35">
      <c r="A130" s="1" t="s">
        <v>808</v>
      </c>
      <c r="B130" s="1" t="s">
        <v>0</v>
      </c>
      <c r="C130" s="9">
        <v>46308.483726851853</v>
      </c>
      <c r="D130" s="1" t="s">
        <v>6</v>
      </c>
      <c r="E130" s="1" t="s">
        <v>609</v>
      </c>
      <c r="G130" s="1">
        <v>178801050</v>
      </c>
      <c r="H130" s="1" t="s">
        <v>599</v>
      </c>
      <c r="I130" s="1" t="s">
        <v>610</v>
      </c>
      <c r="J130" s="1" t="s">
        <v>621</v>
      </c>
    </row>
    <row r="131" spans="1:10" x14ac:dyDescent="0.35">
      <c r="A131" s="1" t="s">
        <v>809</v>
      </c>
      <c r="B131" s="1" t="s">
        <v>0</v>
      </c>
      <c r="C131" s="9">
        <v>46308.483749999999</v>
      </c>
      <c r="D131" s="1" t="s">
        <v>6</v>
      </c>
      <c r="E131" s="1" t="s">
        <v>613</v>
      </c>
      <c r="G131" s="1">
        <v>178801050</v>
      </c>
      <c r="H131" s="1" t="s">
        <v>599</v>
      </c>
      <c r="I131" s="1" t="s">
        <v>614</v>
      </c>
      <c r="J131" s="1" t="s">
        <v>623</v>
      </c>
    </row>
    <row r="132" spans="1:10" x14ac:dyDescent="0.35">
      <c r="A132" s="1" t="s">
        <v>810</v>
      </c>
      <c r="B132" s="1" t="s">
        <v>0</v>
      </c>
      <c r="C132" s="9">
        <v>46308.483749999999</v>
      </c>
      <c r="D132" s="1" t="s">
        <v>6</v>
      </c>
      <c r="E132" s="1" t="s">
        <v>609</v>
      </c>
      <c r="G132" s="1">
        <v>178801050</v>
      </c>
      <c r="H132" s="1" t="s">
        <v>599</v>
      </c>
      <c r="I132" s="1" t="s">
        <v>610</v>
      </c>
      <c r="J132" s="1" t="s">
        <v>625</v>
      </c>
    </row>
    <row r="133" spans="1:10" x14ac:dyDescent="0.35">
      <c r="A133" s="1" t="s">
        <v>811</v>
      </c>
      <c r="B133" s="1" t="s">
        <v>627</v>
      </c>
      <c r="C133" s="9">
        <v>46308.483749999999</v>
      </c>
      <c r="D133" s="1" t="s">
        <v>6</v>
      </c>
      <c r="E133" s="1" t="s">
        <v>628</v>
      </c>
      <c r="G133" s="1" t="s">
        <v>629</v>
      </c>
      <c r="H133" s="1" t="s">
        <v>630</v>
      </c>
      <c r="I133" s="1" t="s">
        <v>631</v>
      </c>
      <c r="J133" s="1" t="s">
        <v>812</v>
      </c>
    </row>
    <row r="134" spans="1:10" x14ac:dyDescent="0.35">
      <c r="A134" s="1" t="s">
        <v>813</v>
      </c>
      <c r="B134" s="1" t="s">
        <v>638</v>
      </c>
      <c r="C134" s="9">
        <v>46308.483773148153</v>
      </c>
      <c r="D134" s="1" t="s">
        <v>6</v>
      </c>
      <c r="E134" s="1" t="s">
        <v>639</v>
      </c>
      <c r="F134" s="1" t="s">
        <v>814</v>
      </c>
      <c r="G134" s="1" t="s">
        <v>638</v>
      </c>
      <c r="H134" s="1" t="s">
        <v>599</v>
      </c>
      <c r="I134" s="1" t="s">
        <v>641</v>
      </c>
      <c r="J134" s="1" t="s">
        <v>642</v>
      </c>
    </row>
    <row r="135" spans="1:10" x14ac:dyDescent="0.35">
      <c r="A135" s="1" t="s">
        <v>815</v>
      </c>
      <c r="B135" s="1" t="s">
        <v>650</v>
      </c>
      <c r="C135" s="9">
        <v>46308.483831018522</v>
      </c>
      <c r="D135" s="1" t="s">
        <v>6</v>
      </c>
      <c r="E135" s="1" t="s">
        <v>651</v>
      </c>
      <c r="G135" s="1" t="s">
        <v>652</v>
      </c>
      <c r="H135" s="1" t="s">
        <v>653</v>
      </c>
      <c r="I135" s="1" t="s">
        <v>654</v>
      </c>
      <c r="J135" s="1" t="s">
        <v>816</v>
      </c>
    </row>
    <row r="136" spans="1:10" x14ac:dyDescent="0.35">
      <c r="A136" s="1" t="s">
        <v>817</v>
      </c>
      <c r="B136" s="1" t="s">
        <v>650</v>
      </c>
      <c r="C136" s="9">
        <v>46308.483842592592</v>
      </c>
      <c r="D136" s="1" t="s">
        <v>6</v>
      </c>
      <c r="E136" s="1" t="s">
        <v>657</v>
      </c>
      <c r="G136" s="1" t="s">
        <v>658</v>
      </c>
      <c r="H136" s="1" t="s">
        <v>653</v>
      </c>
      <c r="I136" s="1" t="s">
        <v>654</v>
      </c>
      <c r="J136" s="1" t="s">
        <v>818</v>
      </c>
    </row>
    <row r="137" spans="1:10" x14ac:dyDescent="0.35">
      <c r="A137" s="1" t="s">
        <v>819</v>
      </c>
      <c r="B137" s="1" t="s">
        <v>650</v>
      </c>
      <c r="C137" s="9">
        <v>46308.483842592592</v>
      </c>
      <c r="D137" s="1" t="s">
        <v>6</v>
      </c>
      <c r="E137" s="1" t="s">
        <v>661</v>
      </c>
      <c r="G137" s="1" t="s">
        <v>662</v>
      </c>
      <c r="H137" s="1" t="s">
        <v>653</v>
      </c>
      <c r="I137" s="1" t="s">
        <v>654</v>
      </c>
      <c r="J137" s="1" t="s">
        <v>820</v>
      </c>
    </row>
    <row r="138" spans="1:10" x14ac:dyDescent="0.35">
      <c r="A138" s="1" t="s">
        <v>821</v>
      </c>
      <c r="B138" s="1" t="s">
        <v>0</v>
      </c>
      <c r="C138" s="9">
        <v>46308.483842592592</v>
      </c>
      <c r="D138" s="1" t="s">
        <v>6</v>
      </c>
      <c r="E138" s="1" t="s">
        <v>701</v>
      </c>
      <c r="F138" s="1" t="s">
        <v>702</v>
      </c>
      <c r="G138" s="1" t="s">
        <v>3</v>
      </c>
      <c r="H138" s="1" t="s">
        <v>599</v>
      </c>
      <c r="I138" s="1" t="s">
        <v>629</v>
      </c>
      <c r="J138" s="1" t="s">
        <v>703</v>
      </c>
    </row>
    <row r="139" spans="1:10" x14ac:dyDescent="0.35">
      <c r="A139" s="1" t="s">
        <v>822</v>
      </c>
      <c r="B139" s="1" t="s">
        <v>0</v>
      </c>
      <c r="C139" s="9">
        <v>46308.483842592592</v>
      </c>
      <c r="D139" s="1" t="s">
        <v>6</v>
      </c>
      <c r="E139" s="1" t="s">
        <v>701</v>
      </c>
      <c r="F139" s="1" t="s">
        <v>3</v>
      </c>
      <c r="G139" s="1" t="s">
        <v>705</v>
      </c>
      <c r="H139" s="1" t="s">
        <v>599</v>
      </c>
      <c r="I139" s="1" t="s">
        <v>629</v>
      </c>
      <c r="J139" s="1" t="s">
        <v>706</v>
      </c>
    </row>
    <row r="140" spans="1:10" x14ac:dyDescent="0.35">
      <c r="A140" s="1" t="s">
        <v>823</v>
      </c>
      <c r="B140" s="1" t="s">
        <v>0</v>
      </c>
      <c r="C140" s="9">
        <v>46308.483842592592</v>
      </c>
      <c r="D140" s="1" t="s">
        <v>6</v>
      </c>
      <c r="E140" s="1" t="s">
        <v>701</v>
      </c>
      <c r="F140" s="1" t="s">
        <v>705</v>
      </c>
      <c r="G140" s="1" t="s">
        <v>708</v>
      </c>
      <c r="H140" s="1" t="s">
        <v>599</v>
      </c>
      <c r="I140" s="1" t="s">
        <v>629</v>
      </c>
      <c r="J140" s="1" t="s">
        <v>709</v>
      </c>
    </row>
    <row r="141" spans="1:10" x14ac:dyDescent="0.35">
      <c r="A141" s="1" t="s">
        <v>824</v>
      </c>
      <c r="B141" s="1" t="s">
        <v>0</v>
      </c>
      <c r="C141" s="9">
        <v>46308.483842592592</v>
      </c>
      <c r="D141" s="1" t="s">
        <v>6</v>
      </c>
      <c r="E141" s="1" t="s">
        <v>701</v>
      </c>
      <c r="F141" s="1" t="s">
        <v>708</v>
      </c>
      <c r="G141" s="1" t="s">
        <v>711</v>
      </c>
      <c r="H141" s="1" t="s">
        <v>599</v>
      </c>
      <c r="I141" s="1" t="s">
        <v>629</v>
      </c>
      <c r="J141" s="1" t="s">
        <v>712</v>
      </c>
    </row>
    <row r="142" spans="1:10" x14ac:dyDescent="0.35">
      <c r="A142" s="1" t="s">
        <v>825</v>
      </c>
      <c r="B142" s="1" t="s">
        <v>0</v>
      </c>
      <c r="C142" s="9">
        <v>46308.483842592592</v>
      </c>
      <c r="D142" s="1" t="s">
        <v>6</v>
      </c>
      <c r="E142" s="1" t="s">
        <v>714</v>
      </c>
      <c r="F142" s="1" t="s">
        <v>708</v>
      </c>
      <c r="G142" s="1" t="s">
        <v>3</v>
      </c>
      <c r="H142" s="1" t="s">
        <v>599</v>
      </c>
      <c r="I142" s="1" t="s">
        <v>715</v>
      </c>
      <c r="J142" s="1" t="s">
        <v>716</v>
      </c>
    </row>
    <row r="143" spans="1:10" x14ac:dyDescent="0.35">
      <c r="A143" s="1" t="s">
        <v>826</v>
      </c>
      <c r="B143" s="1" t="s">
        <v>597</v>
      </c>
      <c r="C143" s="9">
        <v>46308.483842592592</v>
      </c>
      <c r="D143" s="1" t="s">
        <v>6</v>
      </c>
      <c r="E143" s="1" t="s">
        <v>598</v>
      </c>
      <c r="F143" s="1" t="s">
        <v>15</v>
      </c>
      <c r="G143" s="1" t="s">
        <v>17</v>
      </c>
      <c r="H143" s="1" t="s">
        <v>599</v>
      </c>
      <c r="I143" s="1" t="s">
        <v>600</v>
      </c>
      <c r="J143" s="1" t="s">
        <v>601</v>
      </c>
    </row>
    <row r="144" spans="1:10" x14ac:dyDescent="0.35">
      <c r="A144" s="1" t="s">
        <v>827</v>
      </c>
      <c r="B144" s="1" t="s">
        <v>0</v>
      </c>
      <c r="C144" s="9">
        <v>46308.483865740738</v>
      </c>
      <c r="D144" s="1" t="s">
        <v>6</v>
      </c>
      <c r="E144" s="1" t="s">
        <v>609</v>
      </c>
      <c r="G144" s="1">
        <v>178801050</v>
      </c>
      <c r="H144" s="1" t="s">
        <v>599</v>
      </c>
      <c r="I144" s="1" t="s">
        <v>610</v>
      </c>
      <c r="J144" s="1" t="s">
        <v>621</v>
      </c>
    </row>
    <row r="145" spans="1:10" x14ac:dyDescent="0.35">
      <c r="A145" s="1" t="s">
        <v>828</v>
      </c>
      <c r="B145" s="1" t="s">
        <v>0</v>
      </c>
      <c r="C145" s="9">
        <v>46308.483888888892</v>
      </c>
      <c r="D145" s="1" t="s">
        <v>6</v>
      </c>
      <c r="E145" s="1" t="s">
        <v>613</v>
      </c>
      <c r="G145" s="1">
        <v>178801050</v>
      </c>
      <c r="H145" s="1" t="s">
        <v>599</v>
      </c>
      <c r="I145" s="1" t="s">
        <v>614</v>
      </c>
      <c r="J145" s="1" t="s">
        <v>623</v>
      </c>
    </row>
    <row r="146" spans="1:10" x14ac:dyDescent="0.35">
      <c r="A146" s="1" t="s">
        <v>829</v>
      </c>
      <c r="B146" s="1" t="s">
        <v>0</v>
      </c>
      <c r="C146" s="9">
        <v>46308.483888888892</v>
      </c>
      <c r="D146" s="1" t="s">
        <v>6</v>
      </c>
      <c r="E146" s="1" t="s">
        <v>609</v>
      </c>
      <c r="G146" s="1">
        <v>178801050</v>
      </c>
      <c r="H146" s="1" t="s">
        <v>599</v>
      </c>
      <c r="I146" s="1" t="s">
        <v>610</v>
      </c>
      <c r="J146" s="1" t="s">
        <v>625</v>
      </c>
    </row>
    <row r="147" spans="1:10" x14ac:dyDescent="0.35">
      <c r="A147" s="1" t="s">
        <v>830</v>
      </c>
      <c r="B147" s="1" t="s">
        <v>627</v>
      </c>
      <c r="C147" s="9">
        <v>46308.483888888892</v>
      </c>
      <c r="D147" s="1" t="s">
        <v>6</v>
      </c>
      <c r="E147" s="1" t="s">
        <v>628</v>
      </c>
      <c r="G147" s="1" t="s">
        <v>629</v>
      </c>
      <c r="H147" s="1" t="s">
        <v>630</v>
      </c>
      <c r="I147" s="1" t="s">
        <v>631</v>
      </c>
      <c r="J147" s="1" t="s">
        <v>831</v>
      </c>
    </row>
    <row r="148" spans="1:10" x14ac:dyDescent="0.35">
      <c r="A148" s="1" t="s">
        <v>832</v>
      </c>
      <c r="B148" s="1" t="s">
        <v>638</v>
      </c>
      <c r="C148" s="9">
        <v>46308.483912037038</v>
      </c>
      <c r="D148" s="1" t="s">
        <v>6</v>
      </c>
      <c r="E148" s="1" t="s">
        <v>639</v>
      </c>
      <c r="F148" s="1" t="s">
        <v>833</v>
      </c>
      <c r="G148" s="1" t="s">
        <v>638</v>
      </c>
      <c r="H148" s="1" t="s">
        <v>599</v>
      </c>
      <c r="I148" s="1" t="s">
        <v>641</v>
      </c>
      <c r="J148" s="1" t="s">
        <v>642</v>
      </c>
    </row>
    <row r="149" spans="1:10" x14ac:dyDescent="0.35">
      <c r="A149" s="1" t="s">
        <v>834</v>
      </c>
      <c r="B149" s="1" t="s">
        <v>650</v>
      </c>
      <c r="C149" s="9">
        <v>46308.483912037038</v>
      </c>
      <c r="D149" s="1" t="s">
        <v>6</v>
      </c>
      <c r="E149" s="1" t="s">
        <v>651</v>
      </c>
      <c r="G149" s="1" t="s">
        <v>652</v>
      </c>
      <c r="H149" s="1" t="s">
        <v>653</v>
      </c>
      <c r="I149" s="1" t="s">
        <v>654</v>
      </c>
      <c r="J149" s="1" t="s">
        <v>835</v>
      </c>
    </row>
    <row r="150" spans="1:10" x14ac:dyDescent="0.35">
      <c r="A150" s="1" t="s">
        <v>836</v>
      </c>
      <c r="B150" s="1" t="s">
        <v>650</v>
      </c>
      <c r="C150" s="9">
        <v>46308.483912037038</v>
      </c>
      <c r="D150" s="1" t="s">
        <v>6</v>
      </c>
      <c r="E150" s="1" t="s">
        <v>657</v>
      </c>
      <c r="G150" s="1" t="s">
        <v>658</v>
      </c>
      <c r="H150" s="1" t="s">
        <v>653</v>
      </c>
      <c r="I150" s="1" t="s">
        <v>654</v>
      </c>
      <c r="J150" s="1" t="s">
        <v>837</v>
      </c>
    </row>
    <row r="151" spans="1:10" x14ac:dyDescent="0.35">
      <c r="A151" s="1" t="s">
        <v>838</v>
      </c>
      <c r="B151" s="1" t="s">
        <v>650</v>
      </c>
      <c r="C151" s="9">
        <v>46308.483923611107</v>
      </c>
      <c r="D151" s="1" t="s">
        <v>6</v>
      </c>
      <c r="E151" s="1" t="s">
        <v>661</v>
      </c>
      <c r="G151" s="1" t="s">
        <v>662</v>
      </c>
      <c r="H151" s="1" t="s">
        <v>653</v>
      </c>
      <c r="I151" s="1" t="s">
        <v>654</v>
      </c>
      <c r="J151" s="1" t="s">
        <v>839</v>
      </c>
    </row>
    <row r="152" spans="1:10" x14ac:dyDescent="0.35">
      <c r="A152" s="1" t="s">
        <v>840</v>
      </c>
      <c r="B152" s="1" t="s">
        <v>0</v>
      </c>
      <c r="C152" s="9">
        <v>46308.483923611107</v>
      </c>
      <c r="D152" s="1" t="s">
        <v>6</v>
      </c>
      <c r="E152" s="1" t="s">
        <v>701</v>
      </c>
      <c r="F152" s="1" t="s">
        <v>702</v>
      </c>
      <c r="G152" s="1" t="s">
        <v>3</v>
      </c>
      <c r="H152" s="1" t="s">
        <v>599</v>
      </c>
      <c r="I152" s="1" t="s">
        <v>629</v>
      </c>
      <c r="J152" s="1" t="s">
        <v>703</v>
      </c>
    </row>
    <row r="153" spans="1:10" x14ac:dyDescent="0.35">
      <c r="A153" s="1" t="s">
        <v>841</v>
      </c>
      <c r="B153" s="1" t="s">
        <v>0</v>
      </c>
      <c r="C153" s="9">
        <v>46308.483923611107</v>
      </c>
      <c r="D153" s="1" t="s">
        <v>6</v>
      </c>
      <c r="E153" s="1" t="s">
        <v>701</v>
      </c>
      <c r="F153" s="1" t="s">
        <v>3</v>
      </c>
      <c r="G153" s="1" t="s">
        <v>705</v>
      </c>
      <c r="H153" s="1" t="s">
        <v>599</v>
      </c>
      <c r="I153" s="1" t="s">
        <v>629</v>
      </c>
      <c r="J153" s="1" t="s">
        <v>706</v>
      </c>
    </row>
    <row r="154" spans="1:10" x14ac:dyDescent="0.35">
      <c r="A154" s="1" t="s">
        <v>842</v>
      </c>
      <c r="B154" s="1" t="s">
        <v>0</v>
      </c>
      <c r="C154" s="9">
        <v>46308.483923611107</v>
      </c>
      <c r="D154" s="1" t="s">
        <v>6</v>
      </c>
      <c r="E154" s="1" t="s">
        <v>701</v>
      </c>
      <c r="F154" s="1" t="s">
        <v>705</v>
      </c>
      <c r="G154" s="1" t="s">
        <v>708</v>
      </c>
      <c r="H154" s="1" t="s">
        <v>599</v>
      </c>
      <c r="I154" s="1" t="s">
        <v>629</v>
      </c>
      <c r="J154" s="1" t="s">
        <v>709</v>
      </c>
    </row>
    <row r="155" spans="1:10" x14ac:dyDescent="0.35">
      <c r="A155" s="1" t="s">
        <v>843</v>
      </c>
      <c r="B155" s="1" t="s">
        <v>0</v>
      </c>
      <c r="C155" s="9">
        <v>46308.483923611107</v>
      </c>
      <c r="D155" s="1" t="s">
        <v>6</v>
      </c>
      <c r="E155" s="1" t="s">
        <v>701</v>
      </c>
      <c r="F155" s="1" t="s">
        <v>708</v>
      </c>
      <c r="G155" s="1" t="s">
        <v>711</v>
      </c>
      <c r="H155" s="1" t="s">
        <v>599</v>
      </c>
      <c r="I155" s="1" t="s">
        <v>629</v>
      </c>
      <c r="J155" s="1" t="s">
        <v>712</v>
      </c>
    </row>
    <row r="156" spans="1:10" x14ac:dyDescent="0.35">
      <c r="A156" s="1" t="s">
        <v>844</v>
      </c>
      <c r="B156" s="1" t="s">
        <v>0</v>
      </c>
      <c r="C156" s="9">
        <v>46308.483923611107</v>
      </c>
      <c r="D156" s="1" t="s">
        <v>6</v>
      </c>
      <c r="E156" s="1" t="s">
        <v>714</v>
      </c>
      <c r="F156" s="1" t="s">
        <v>708</v>
      </c>
      <c r="G156" s="1" t="s">
        <v>3</v>
      </c>
      <c r="H156" s="1" t="s">
        <v>599</v>
      </c>
      <c r="I156" s="1" t="s">
        <v>715</v>
      </c>
      <c r="J156" s="1" t="s">
        <v>716</v>
      </c>
    </row>
    <row r="157" spans="1:10" x14ac:dyDescent="0.35">
      <c r="A157" s="1" t="s">
        <v>848</v>
      </c>
      <c r="B157" s="1" t="s">
        <v>845</v>
      </c>
      <c r="C157" s="9">
        <v>46308.623541666668</v>
      </c>
      <c r="D157" s="1" t="s">
        <v>6</v>
      </c>
      <c r="E157" s="1" t="s">
        <v>609</v>
      </c>
      <c r="G157" s="1">
        <v>178801050</v>
      </c>
      <c r="H157" s="1" t="s">
        <v>599</v>
      </c>
      <c r="I157" s="1" t="s">
        <v>610</v>
      </c>
      <c r="J157" s="1" t="s">
        <v>849</v>
      </c>
    </row>
    <row r="158" spans="1:10" x14ac:dyDescent="0.35">
      <c r="A158" s="1" t="s">
        <v>850</v>
      </c>
      <c r="B158" s="1" t="s">
        <v>845</v>
      </c>
      <c r="C158" s="9">
        <v>46308.623541666668</v>
      </c>
      <c r="D158" s="1" t="s">
        <v>6</v>
      </c>
      <c r="E158" s="1" t="s">
        <v>701</v>
      </c>
      <c r="F158" s="1" t="s">
        <v>3</v>
      </c>
      <c r="G158" s="1" t="s">
        <v>705</v>
      </c>
      <c r="H158" s="1" t="s">
        <v>599</v>
      </c>
      <c r="I158" s="1" t="s">
        <v>629</v>
      </c>
      <c r="J158" s="1" t="s">
        <v>851</v>
      </c>
    </row>
    <row r="159" spans="1:10" x14ac:dyDescent="0.35">
      <c r="A159" s="1" t="s">
        <v>852</v>
      </c>
      <c r="B159" s="1" t="s">
        <v>845</v>
      </c>
      <c r="C159" s="9">
        <v>46308.630590277775</v>
      </c>
      <c r="D159" s="1" t="s">
        <v>6</v>
      </c>
      <c r="E159" s="1" t="s">
        <v>609</v>
      </c>
      <c r="G159" s="1">
        <v>178801050</v>
      </c>
      <c r="H159" s="1" t="s">
        <v>599</v>
      </c>
      <c r="I159" s="1" t="s">
        <v>610</v>
      </c>
      <c r="J159" s="1" t="s">
        <v>853</v>
      </c>
    </row>
    <row r="160" spans="1:10" x14ac:dyDescent="0.35">
      <c r="A160" s="1" t="s">
        <v>854</v>
      </c>
      <c r="B160" s="1" t="s">
        <v>845</v>
      </c>
      <c r="C160" s="9">
        <v>46308.630590277775</v>
      </c>
      <c r="D160" s="1" t="s">
        <v>6</v>
      </c>
      <c r="E160" s="1" t="s">
        <v>701</v>
      </c>
      <c r="F160" s="1" t="s">
        <v>3</v>
      </c>
      <c r="G160" s="1" t="s">
        <v>705</v>
      </c>
      <c r="H160" s="1" t="s">
        <v>599</v>
      </c>
      <c r="I160" s="1" t="s">
        <v>629</v>
      </c>
      <c r="J160" s="1" t="s">
        <v>851</v>
      </c>
    </row>
    <row r="161" spans="1:10" x14ac:dyDescent="0.35">
      <c r="A161" s="1" t="s">
        <v>859</v>
      </c>
      <c r="B161" s="1" t="s">
        <v>597</v>
      </c>
      <c r="C161" s="9">
        <v>46308.739166666666</v>
      </c>
      <c r="D161" s="1" t="s">
        <v>6</v>
      </c>
      <c r="E161" s="1" t="s">
        <v>598</v>
      </c>
      <c r="F161" s="1" t="s">
        <v>15</v>
      </c>
      <c r="G161" s="1" t="s">
        <v>17</v>
      </c>
      <c r="H161" s="1" t="s">
        <v>599</v>
      </c>
      <c r="I161" s="1" t="s">
        <v>600</v>
      </c>
      <c r="J161" s="1" t="s">
        <v>601</v>
      </c>
    </row>
    <row r="162" spans="1:10" x14ac:dyDescent="0.35">
      <c r="A162" s="1" t="s">
        <v>860</v>
      </c>
      <c r="B162" s="1" t="s">
        <v>0</v>
      </c>
      <c r="C162" s="9">
        <v>46308.739178240743</v>
      </c>
      <c r="D162" s="1" t="s">
        <v>6</v>
      </c>
      <c r="E162" s="1" t="s">
        <v>609</v>
      </c>
      <c r="G162" s="1">
        <v>178801050</v>
      </c>
      <c r="H162" s="1" t="s">
        <v>599</v>
      </c>
      <c r="I162" s="1" t="s">
        <v>610</v>
      </c>
      <c r="J162" s="1" t="s">
        <v>621</v>
      </c>
    </row>
    <row r="163" spans="1:10" x14ac:dyDescent="0.35">
      <c r="A163" s="1" t="s">
        <v>861</v>
      </c>
      <c r="B163" s="1" t="s">
        <v>0</v>
      </c>
      <c r="C163" s="9">
        <v>46308.739178240743</v>
      </c>
      <c r="D163" s="1" t="s">
        <v>6</v>
      </c>
      <c r="E163" s="1" t="s">
        <v>613</v>
      </c>
      <c r="G163" s="1">
        <v>178801050</v>
      </c>
      <c r="H163" s="1" t="s">
        <v>599</v>
      </c>
      <c r="I163" s="1" t="s">
        <v>614</v>
      </c>
      <c r="J163" s="1" t="s">
        <v>623</v>
      </c>
    </row>
    <row r="164" spans="1:10" x14ac:dyDescent="0.35">
      <c r="A164" s="1" t="s">
        <v>862</v>
      </c>
      <c r="B164" s="1" t="s">
        <v>0</v>
      </c>
      <c r="C164" s="9">
        <v>46308.739178240743</v>
      </c>
      <c r="D164" s="1" t="s">
        <v>6</v>
      </c>
      <c r="E164" s="1" t="s">
        <v>609</v>
      </c>
      <c r="G164" s="1">
        <v>178801050</v>
      </c>
      <c r="H164" s="1" t="s">
        <v>599</v>
      </c>
      <c r="I164" s="1" t="s">
        <v>610</v>
      </c>
      <c r="J164" s="1" t="s">
        <v>625</v>
      </c>
    </row>
    <row r="165" spans="1:10" x14ac:dyDescent="0.35">
      <c r="A165" s="1" t="s">
        <v>863</v>
      </c>
      <c r="B165" s="1" t="s">
        <v>627</v>
      </c>
      <c r="C165" s="9">
        <v>46308.739178240743</v>
      </c>
      <c r="D165" s="1" t="s">
        <v>6</v>
      </c>
      <c r="E165" s="1" t="s">
        <v>628</v>
      </c>
      <c r="G165" s="1" t="s">
        <v>629</v>
      </c>
      <c r="H165" s="1" t="s">
        <v>630</v>
      </c>
      <c r="I165" s="1" t="s">
        <v>631</v>
      </c>
      <c r="J165" s="1" t="s">
        <v>864</v>
      </c>
    </row>
    <row r="166" spans="1:10" x14ac:dyDescent="0.35">
      <c r="A166" s="1" t="s">
        <v>866</v>
      </c>
      <c r="B166" s="1" t="s">
        <v>638</v>
      </c>
      <c r="C166" s="9">
        <v>46308.739189814813</v>
      </c>
      <c r="D166" s="1" t="s">
        <v>6</v>
      </c>
      <c r="E166" s="1" t="s">
        <v>639</v>
      </c>
      <c r="F166" s="1" t="s">
        <v>865</v>
      </c>
      <c r="G166" s="1" t="s">
        <v>638</v>
      </c>
      <c r="H166" s="1" t="s">
        <v>599</v>
      </c>
      <c r="I166" s="1" t="s">
        <v>641</v>
      </c>
      <c r="J166" s="1" t="s">
        <v>642</v>
      </c>
    </row>
    <row r="167" spans="1:10" x14ac:dyDescent="0.35">
      <c r="A167" s="1" t="s">
        <v>867</v>
      </c>
      <c r="B167" s="1" t="s">
        <v>650</v>
      </c>
      <c r="C167" s="9">
        <v>46308.739247685182</v>
      </c>
      <c r="D167" s="1" t="s">
        <v>6</v>
      </c>
      <c r="E167" s="1" t="s">
        <v>651</v>
      </c>
      <c r="G167" s="1" t="s">
        <v>868</v>
      </c>
      <c r="H167" s="1" t="s">
        <v>653</v>
      </c>
      <c r="I167" s="1" t="s">
        <v>654</v>
      </c>
      <c r="J167" s="1" t="s">
        <v>869</v>
      </c>
    </row>
    <row r="168" spans="1:10" x14ac:dyDescent="0.35">
      <c r="A168" s="1" t="s">
        <v>870</v>
      </c>
      <c r="B168" s="1" t="s">
        <v>650</v>
      </c>
      <c r="C168" s="9">
        <v>46308.739247685182</v>
      </c>
      <c r="D168" s="1" t="s">
        <v>6</v>
      </c>
      <c r="E168" s="1" t="s">
        <v>657</v>
      </c>
      <c r="G168" s="1" t="s">
        <v>871</v>
      </c>
      <c r="H168" s="1" t="s">
        <v>653</v>
      </c>
      <c r="I168" s="1" t="s">
        <v>654</v>
      </c>
      <c r="J168" s="1" t="s">
        <v>872</v>
      </c>
    </row>
    <row r="169" spans="1:10" x14ac:dyDescent="0.35">
      <c r="A169" s="1" t="s">
        <v>873</v>
      </c>
      <c r="B169" s="1" t="s">
        <v>650</v>
      </c>
      <c r="C169" s="9">
        <v>46308.739247685182</v>
      </c>
      <c r="D169" s="1" t="s">
        <v>6</v>
      </c>
      <c r="E169" s="1" t="s">
        <v>661</v>
      </c>
      <c r="G169" s="1" t="s">
        <v>874</v>
      </c>
      <c r="H169" s="1" t="s">
        <v>653</v>
      </c>
      <c r="I169" s="1" t="s">
        <v>654</v>
      </c>
      <c r="J169" s="1" t="s">
        <v>875</v>
      </c>
    </row>
    <row r="170" spans="1:10" x14ac:dyDescent="0.35">
      <c r="A170" s="1" t="s">
        <v>876</v>
      </c>
      <c r="B170" s="1" t="s">
        <v>0</v>
      </c>
      <c r="C170" s="9">
        <v>46308.739247685182</v>
      </c>
      <c r="D170" s="1" t="s">
        <v>6</v>
      </c>
      <c r="E170" s="1" t="s">
        <v>701</v>
      </c>
      <c r="F170" s="1" t="s">
        <v>702</v>
      </c>
      <c r="G170" s="1" t="s">
        <v>3</v>
      </c>
      <c r="H170" s="1" t="s">
        <v>599</v>
      </c>
      <c r="I170" s="1" t="s">
        <v>629</v>
      </c>
      <c r="J170" s="1" t="s">
        <v>703</v>
      </c>
    </row>
    <row r="171" spans="1:10" x14ac:dyDescent="0.35">
      <c r="A171" s="1" t="s">
        <v>877</v>
      </c>
      <c r="B171" s="1" t="s">
        <v>0</v>
      </c>
      <c r="C171" s="9">
        <v>46308.739247685182</v>
      </c>
      <c r="D171" s="1" t="s">
        <v>6</v>
      </c>
      <c r="E171" s="1" t="s">
        <v>701</v>
      </c>
      <c r="F171" s="1" t="s">
        <v>3</v>
      </c>
      <c r="G171" s="1" t="s">
        <v>705</v>
      </c>
      <c r="H171" s="1" t="s">
        <v>599</v>
      </c>
      <c r="I171" s="1" t="s">
        <v>629</v>
      </c>
      <c r="J171" s="1" t="s">
        <v>706</v>
      </c>
    </row>
    <row r="172" spans="1:10" x14ac:dyDescent="0.35">
      <c r="A172" s="1" t="s">
        <v>878</v>
      </c>
      <c r="B172" s="1" t="s">
        <v>0</v>
      </c>
      <c r="C172" s="9">
        <v>46308.739247685182</v>
      </c>
      <c r="D172" s="1" t="s">
        <v>6</v>
      </c>
      <c r="E172" s="1" t="s">
        <v>701</v>
      </c>
      <c r="F172" s="1" t="s">
        <v>705</v>
      </c>
      <c r="G172" s="1" t="s">
        <v>708</v>
      </c>
      <c r="H172" s="1" t="s">
        <v>599</v>
      </c>
      <c r="I172" s="1" t="s">
        <v>629</v>
      </c>
      <c r="J172" s="1" t="s">
        <v>709</v>
      </c>
    </row>
    <row r="173" spans="1:10" x14ac:dyDescent="0.35">
      <c r="A173" s="1" t="s">
        <v>879</v>
      </c>
      <c r="B173" s="1" t="s">
        <v>0</v>
      </c>
      <c r="C173" s="9">
        <v>46308.739247685182</v>
      </c>
      <c r="D173" s="1" t="s">
        <v>6</v>
      </c>
      <c r="E173" s="1" t="s">
        <v>701</v>
      </c>
      <c r="F173" s="1" t="s">
        <v>708</v>
      </c>
      <c r="G173" s="1" t="s">
        <v>711</v>
      </c>
      <c r="H173" s="1" t="s">
        <v>599</v>
      </c>
      <c r="I173" s="1" t="s">
        <v>629</v>
      </c>
      <c r="J173" s="1" t="s">
        <v>712</v>
      </c>
    </row>
    <row r="174" spans="1:10" x14ac:dyDescent="0.35">
      <c r="A174" s="1" t="s">
        <v>880</v>
      </c>
      <c r="B174" s="1" t="s">
        <v>0</v>
      </c>
      <c r="C174" s="9">
        <v>46308.739247685182</v>
      </c>
      <c r="D174" s="1" t="s">
        <v>6</v>
      </c>
      <c r="E174" s="1" t="s">
        <v>714</v>
      </c>
      <c r="F174" s="1" t="s">
        <v>708</v>
      </c>
      <c r="G174" s="1" t="s">
        <v>3</v>
      </c>
      <c r="H174" s="1" t="s">
        <v>599</v>
      </c>
      <c r="I174" s="1" t="s">
        <v>715</v>
      </c>
      <c r="J174" s="1" t="s">
        <v>716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5C78F-9FEC-4A3C-B297-9010146EE5C4}">
  <sheetPr codeName="Sheet13">
    <pageSetUpPr fitToPage="1"/>
  </sheetPr>
  <dimension ref="A1:P22"/>
  <sheetViews>
    <sheetView topLeftCell="A8" workbookViewId="0">
      <selection activeCell="A12" sqref="A12"/>
    </sheetView>
  </sheetViews>
  <sheetFormatPr defaultRowHeight="14.5" x14ac:dyDescent="0.35"/>
  <cols>
    <col min="1" max="1" width="13.6328125" customWidth="1"/>
    <col min="2" max="2" width="13.7265625" customWidth="1"/>
    <col min="3" max="3" width="14.90625" customWidth="1"/>
    <col min="4" max="5" width="13.6328125" customWidth="1"/>
    <col min="6" max="6" width="14.54296875" customWidth="1"/>
    <col min="7" max="7" width="14.36328125" customWidth="1"/>
    <col min="8" max="8" width="11.90625" customWidth="1"/>
    <col min="9" max="9" width="13.7265625" customWidth="1"/>
    <col min="10" max="10" width="13.6328125" customWidth="1"/>
    <col min="11" max="11" width="13.7265625" customWidth="1"/>
    <col min="12" max="12" width="12.26953125" customWidth="1"/>
    <col min="13" max="13" width="13.6328125" customWidth="1"/>
    <col min="14" max="14" width="13.7265625" customWidth="1"/>
    <col min="15" max="16" width="13.6328125" customWidth="1"/>
  </cols>
  <sheetData>
    <row r="1" spans="1:16" ht="22" customHeight="1" x14ac:dyDescent="0.35">
      <c r="A1" s="101" t="s">
        <v>904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</row>
    <row r="2" spans="1:16" ht="15" customHeight="1" x14ac:dyDescent="0.3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</row>
    <row r="3" spans="1:16" ht="16" customHeight="1" x14ac:dyDescent="0.35">
      <c r="A3" s="102" t="s">
        <v>942</v>
      </c>
      <c r="B3" s="98"/>
      <c r="C3" s="98"/>
      <c r="D3" s="98"/>
      <c r="E3" s="98"/>
      <c r="F3" s="98"/>
      <c r="G3" s="98"/>
      <c r="H3" s="98"/>
      <c r="I3" s="98"/>
      <c r="J3" s="102" t="s">
        <v>943</v>
      </c>
      <c r="K3" s="98"/>
      <c r="L3" s="98"/>
      <c r="M3" s="98"/>
      <c r="N3" s="98"/>
      <c r="O3" s="98"/>
      <c r="P3" s="98"/>
    </row>
    <row r="4" spans="1:16" ht="16" customHeight="1" x14ac:dyDescent="0.35">
      <c r="A4" s="102" t="s">
        <v>905</v>
      </c>
      <c r="B4" s="98"/>
      <c r="C4" s="98"/>
      <c r="D4" s="102" t="s">
        <v>855</v>
      </c>
      <c r="E4" s="98"/>
      <c r="F4" s="98"/>
      <c r="G4" s="98"/>
      <c r="H4" s="98"/>
      <c r="I4" s="98"/>
      <c r="J4" s="102" t="s">
        <v>906</v>
      </c>
      <c r="K4" s="98"/>
      <c r="L4" s="102" t="s">
        <v>224</v>
      </c>
      <c r="M4" s="98"/>
      <c r="N4" s="98"/>
      <c r="O4" s="98"/>
      <c r="P4" s="98"/>
    </row>
    <row r="5" spans="1:16" ht="16" customHeight="1" x14ac:dyDescent="0.35">
      <c r="A5" s="98" t="s">
        <v>907</v>
      </c>
      <c r="B5" s="98"/>
      <c r="C5" s="98"/>
      <c r="D5" s="98" t="s">
        <v>857</v>
      </c>
      <c r="E5" s="98"/>
      <c r="F5" s="98"/>
      <c r="G5" s="98"/>
      <c r="H5" s="98"/>
      <c r="I5" s="98"/>
      <c r="J5" s="98" t="s">
        <v>908</v>
      </c>
      <c r="K5" s="98"/>
      <c r="L5" s="98" t="s">
        <v>901</v>
      </c>
      <c r="M5" s="98"/>
      <c r="N5" s="98"/>
      <c r="O5" s="98"/>
      <c r="P5" s="98"/>
    </row>
    <row r="6" spans="1:16" ht="16" customHeight="1" x14ac:dyDescent="0.35">
      <c r="A6" s="98" t="s">
        <v>909</v>
      </c>
      <c r="B6" s="98"/>
      <c r="C6" s="98"/>
      <c r="D6" s="98" t="s">
        <v>901</v>
      </c>
      <c r="E6" s="98"/>
      <c r="F6" s="98"/>
      <c r="G6" s="98"/>
      <c r="H6" s="98"/>
      <c r="I6" s="98"/>
      <c r="J6" s="98" t="s">
        <v>524</v>
      </c>
      <c r="K6" s="98"/>
      <c r="L6" s="98" t="s">
        <v>533</v>
      </c>
      <c r="M6" s="98"/>
      <c r="N6" s="98"/>
      <c r="O6" s="98"/>
      <c r="P6" s="98"/>
    </row>
    <row r="7" spans="1:16" ht="16" customHeight="1" x14ac:dyDescent="0.35">
      <c r="A7" s="98" t="s">
        <v>910</v>
      </c>
      <c r="B7" s="98"/>
      <c r="C7" s="98"/>
      <c r="D7" s="98" t="s">
        <v>856</v>
      </c>
      <c r="E7" s="98"/>
      <c r="F7" s="98"/>
      <c r="G7" s="98"/>
      <c r="H7" s="98"/>
      <c r="I7" s="98"/>
      <c r="J7" s="98" t="s">
        <v>911</v>
      </c>
      <c r="K7" s="98"/>
      <c r="L7" s="98" t="s">
        <v>858</v>
      </c>
      <c r="M7" s="98"/>
      <c r="N7" s="98"/>
      <c r="O7" s="98"/>
      <c r="P7" s="98"/>
    </row>
    <row r="8" spans="1:16" ht="24" customHeight="1" x14ac:dyDescent="0.35">
      <c r="A8" s="98" t="s">
        <v>521</v>
      </c>
      <c r="B8" s="98"/>
      <c r="C8" s="98"/>
      <c r="D8" s="98" t="s">
        <v>901</v>
      </c>
      <c r="E8" s="98"/>
      <c r="F8" s="98"/>
      <c r="G8" s="98"/>
      <c r="H8" s="98"/>
      <c r="I8" s="98"/>
      <c r="J8" s="98" t="s">
        <v>912</v>
      </c>
      <c r="K8" s="98"/>
      <c r="L8" s="100" t="s">
        <v>51</v>
      </c>
      <c r="M8" s="100"/>
      <c r="N8" s="100"/>
      <c r="O8" s="100"/>
      <c r="P8" s="100"/>
    </row>
    <row r="9" spans="1:16" ht="16" customHeight="1" x14ac:dyDescent="0.35">
      <c r="A9" s="98" t="s">
        <v>913</v>
      </c>
      <c r="B9" s="98"/>
      <c r="C9" s="98"/>
      <c r="D9" s="98" t="s">
        <v>903</v>
      </c>
      <c r="E9" s="98"/>
      <c r="F9" s="98"/>
      <c r="G9" s="98"/>
      <c r="H9" s="98"/>
      <c r="I9" s="98"/>
      <c r="J9" s="98" t="s">
        <v>914</v>
      </c>
      <c r="K9" s="98"/>
      <c r="L9" s="98" t="s">
        <v>915</v>
      </c>
      <c r="M9" s="98"/>
      <c r="N9" s="98"/>
      <c r="O9" s="98"/>
      <c r="P9" s="98"/>
    </row>
    <row r="10" spans="1:16" ht="28" customHeight="1" x14ac:dyDescent="0.35">
      <c r="A10" s="99" t="s">
        <v>143</v>
      </c>
      <c r="B10" s="35" t="s">
        <v>98</v>
      </c>
      <c r="C10" s="35" t="s">
        <v>917</v>
      </c>
      <c r="D10" s="35" t="s">
        <v>917</v>
      </c>
      <c r="E10" s="35" t="s">
        <v>919</v>
      </c>
      <c r="F10" s="35" t="s">
        <v>63</v>
      </c>
      <c r="G10" s="35" t="s">
        <v>921</v>
      </c>
      <c r="H10" s="35" t="s">
        <v>922</v>
      </c>
      <c r="I10" s="35" t="s">
        <v>924</v>
      </c>
      <c r="J10" s="35" t="s">
        <v>926</v>
      </c>
      <c r="K10" s="35" t="s">
        <v>928</v>
      </c>
      <c r="L10" s="35" t="s">
        <v>930</v>
      </c>
      <c r="M10" s="35" t="s">
        <v>931</v>
      </c>
      <c r="N10" s="35" t="s">
        <v>933</v>
      </c>
      <c r="O10" s="35" t="s">
        <v>933</v>
      </c>
      <c r="P10" s="35" t="s">
        <v>936</v>
      </c>
    </row>
    <row r="11" spans="1:16" ht="28" customHeight="1" x14ac:dyDescent="0.35">
      <c r="A11" s="99"/>
      <c r="B11" s="35" t="s">
        <v>916</v>
      </c>
      <c r="C11" s="35" t="s">
        <v>918</v>
      </c>
      <c r="D11" s="35" t="s">
        <v>916</v>
      </c>
      <c r="E11" s="35" t="s">
        <v>916</v>
      </c>
      <c r="F11" s="35" t="s">
        <v>920</v>
      </c>
      <c r="G11" s="35" t="s">
        <v>72</v>
      </c>
      <c r="H11" s="35" t="s">
        <v>923</v>
      </c>
      <c r="I11" s="35" t="s">
        <v>925</v>
      </c>
      <c r="J11" s="35" t="s">
        <v>927</v>
      </c>
      <c r="K11" s="35" t="s">
        <v>929</v>
      </c>
      <c r="L11" s="35" t="s">
        <v>72</v>
      </c>
      <c r="M11" s="35" t="s">
        <v>932</v>
      </c>
      <c r="N11" s="35" t="s">
        <v>934</v>
      </c>
      <c r="O11" s="35" t="s">
        <v>935</v>
      </c>
      <c r="P11" s="35" t="s">
        <v>929</v>
      </c>
    </row>
    <row r="12" spans="1:16" ht="28" customHeight="1" x14ac:dyDescent="0.35">
      <c r="A12" s="37">
        <v>1</v>
      </c>
      <c r="B12" s="37">
        <v>1226</v>
      </c>
      <c r="C12" s="38">
        <f>ROUND(D12/25.4,0)</f>
        <v>49</v>
      </c>
      <c r="D12" s="37">
        <f>ROUNDUP(B12+2*E12,0)</f>
        <v>1243</v>
      </c>
      <c r="E12" s="39">
        <v>8.4</v>
      </c>
      <c r="F12" s="37" t="s">
        <v>310</v>
      </c>
      <c r="G12" s="37" t="s">
        <v>224</v>
      </c>
      <c r="H12" s="40">
        <v>2000</v>
      </c>
      <c r="I12" s="41">
        <f>CEILING(H12/12,1)</f>
        <v>167</v>
      </c>
      <c r="J12" s="40">
        <f>(D12-E12)*E12*0.0246615</f>
        <v>255.75553835999997</v>
      </c>
      <c r="K12" s="42">
        <f>H12*J12/1000</f>
        <v>511.51107671999995</v>
      </c>
      <c r="L12" s="40">
        <f>(D12/1000)*(D12/1000)*H12</f>
        <v>3090.0980000000009</v>
      </c>
      <c r="M12" s="38">
        <f>ROUNDUP(L12/K12,0)</f>
        <v>7</v>
      </c>
      <c r="N12" s="41">
        <f>ROUNDUP(D12*H12*(22/7)/1000,0)</f>
        <v>7814</v>
      </c>
      <c r="O12" s="41">
        <f>ROUNDUP((22/7)*H12*(D12-(2*E12))/1000,0)</f>
        <v>7708</v>
      </c>
      <c r="P12" s="40">
        <f>ROUNDUP(12*J12/1000,0)</f>
        <v>4</v>
      </c>
    </row>
    <row r="13" spans="1:16" ht="28" customHeight="1" x14ac:dyDescent="0.35">
      <c r="A13" s="46">
        <v>2</v>
      </c>
      <c r="B13" s="46">
        <v>1300</v>
      </c>
      <c r="C13" s="47">
        <f>ROUND(D13/25.4,0)</f>
        <v>52</v>
      </c>
      <c r="D13" s="46">
        <f>ROUNDUP(B13+2*E13,0)</f>
        <v>1317</v>
      </c>
      <c r="E13" s="48">
        <v>8.4</v>
      </c>
      <c r="F13" s="46" t="s">
        <v>310</v>
      </c>
      <c r="G13" s="46" t="s">
        <v>224</v>
      </c>
      <c r="H13" s="49">
        <v>350</v>
      </c>
      <c r="I13" s="50">
        <f>CEILING(H13/12,1)</f>
        <v>30</v>
      </c>
      <c r="J13" s="49">
        <f>(D13-E13)*E13*0.0246615</f>
        <v>271.08512675999998</v>
      </c>
      <c r="K13" s="51">
        <f>H13*J13/1000</f>
        <v>94.879794365999985</v>
      </c>
      <c r="L13" s="49">
        <f>(D13/1000)*(D13/1000)*H13</f>
        <v>607.07114999999999</v>
      </c>
      <c r="M13" s="47">
        <f>ROUNDUP(L13/K13,0)</f>
        <v>7</v>
      </c>
      <c r="N13" s="50">
        <f>ROUNDUP(D13*H13*(22/7)/1000,0)</f>
        <v>1449</v>
      </c>
      <c r="O13" s="50">
        <f>ROUNDUP((22/7)*H13*(D13-(2*E13))/1000,0)</f>
        <v>1431</v>
      </c>
      <c r="P13" s="49">
        <f>ROUNDUP(12*J13/1000,0)</f>
        <v>4</v>
      </c>
    </row>
    <row r="14" spans="1:16" ht="28" customHeight="1" x14ac:dyDescent="0.35">
      <c r="A14" s="37">
        <v>3</v>
      </c>
      <c r="B14" s="37">
        <v>1350</v>
      </c>
      <c r="C14" s="38">
        <f>ROUND(D14/25.4,0)</f>
        <v>54</v>
      </c>
      <c r="D14" s="37">
        <f>ROUNDUP(B14+2*E14,0)</f>
        <v>1367</v>
      </c>
      <c r="E14" s="39">
        <v>8.4</v>
      </c>
      <c r="F14" s="37" t="s">
        <v>310</v>
      </c>
      <c r="G14" s="37" t="s">
        <v>224</v>
      </c>
      <c r="H14" s="40">
        <v>500</v>
      </c>
      <c r="I14" s="41">
        <f>CEILING(H14/12,1)</f>
        <v>42</v>
      </c>
      <c r="J14" s="40">
        <f>(D14-E14)*E14*0.0246615</f>
        <v>281.44295676000002</v>
      </c>
      <c r="K14" s="42">
        <f>H14*J14/1000</f>
        <v>140.72147838000001</v>
      </c>
      <c r="L14" s="40">
        <f>(D14/1000)*(D14/1000)*H14</f>
        <v>934.34450000000004</v>
      </c>
      <c r="M14" s="38">
        <f>ROUNDUP(L14/K14,0)</f>
        <v>7</v>
      </c>
      <c r="N14" s="41">
        <f>ROUNDUP(D14*H14*(22/7)/1000,0)</f>
        <v>2149</v>
      </c>
      <c r="O14" s="41">
        <f>ROUNDUP((22/7)*H14*(D14-(2*E14))/1000,0)</f>
        <v>2122</v>
      </c>
      <c r="P14" s="40">
        <f>ROUNDUP(12*J14/1000,0)</f>
        <v>4</v>
      </c>
    </row>
    <row r="15" spans="1:16" ht="28" customHeight="1" thickBot="1" x14ac:dyDescent="0.4">
      <c r="A15" s="46">
        <v>4</v>
      </c>
      <c r="B15" s="46">
        <v>1400</v>
      </c>
      <c r="C15" s="47">
        <f>ROUND(D15/25.4,0)</f>
        <v>56</v>
      </c>
      <c r="D15" s="46">
        <f>ROUNDUP(B15+2*E15,0)</f>
        <v>1417</v>
      </c>
      <c r="E15" s="48">
        <v>8.4</v>
      </c>
      <c r="F15" s="46" t="s">
        <v>310</v>
      </c>
      <c r="G15" s="46" t="s">
        <v>224</v>
      </c>
      <c r="H15" s="49">
        <v>4400</v>
      </c>
      <c r="I15" s="50">
        <f>CEILING(H15/12,1)</f>
        <v>367</v>
      </c>
      <c r="J15" s="49">
        <f>(D15-E15)*E15*0.0246615</f>
        <v>291.80078675999999</v>
      </c>
      <c r="K15" s="51">
        <f>H15*J15/1000</f>
        <v>1283.923461744</v>
      </c>
      <c r="L15" s="49">
        <f>(D15/1000)*(D15/1000)*H15</f>
        <v>8834.7116000000005</v>
      </c>
      <c r="M15" s="47">
        <f>ROUNDUP(L15/K15,0)</f>
        <v>7</v>
      </c>
      <c r="N15" s="50">
        <f>ROUNDUP(D15*H15*(22/7)/1000,0)</f>
        <v>19596</v>
      </c>
      <c r="O15" s="50">
        <f>ROUNDUP((22/7)*H15*(D15-(2*E15))/1000,0)</f>
        <v>19363</v>
      </c>
      <c r="P15" s="49">
        <f>ROUNDUP(12*J15/1000,0)</f>
        <v>4</v>
      </c>
    </row>
    <row r="16" spans="1:16" ht="26" customHeight="1" thickBot="1" x14ac:dyDescent="0.4">
      <c r="A16" s="95" t="s">
        <v>155</v>
      </c>
      <c r="B16" s="95"/>
      <c r="C16" s="95"/>
      <c r="D16" s="95"/>
      <c r="E16" s="95"/>
      <c r="F16" s="95"/>
      <c r="G16" s="95"/>
      <c r="H16" s="43">
        <f>SUM(H12:H15)</f>
        <v>7250</v>
      </c>
      <c r="I16" s="44">
        <f>SUM(I12:I15)</f>
        <v>606</v>
      </c>
      <c r="J16" s="36"/>
      <c r="K16" s="45">
        <f>SUM(K12:K15)</f>
        <v>2031.0358112099998</v>
      </c>
      <c r="L16" s="36"/>
      <c r="M16" s="36"/>
      <c r="N16" s="44">
        <f>SUM(N12:N15)</f>
        <v>31008</v>
      </c>
      <c r="O16" s="44">
        <f>SUM(O12:O15)</f>
        <v>30624</v>
      </c>
      <c r="P16" s="36"/>
    </row>
    <row r="17" spans="1:16" ht="85" customHeight="1" x14ac:dyDescent="0.35">
      <c r="A17" s="96" t="s">
        <v>937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</row>
    <row r="18" spans="1:16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</sheetData>
  <mergeCells count="30">
    <mergeCell ref="A1:P2"/>
    <mergeCell ref="A3:I3"/>
    <mergeCell ref="J3:P3"/>
    <mergeCell ref="A4:C4"/>
    <mergeCell ref="D4:I4"/>
    <mergeCell ref="J4:K4"/>
    <mergeCell ref="L4:P4"/>
    <mergeCell ref="A5:C5"/>
    <mergeCell ref="D5:I5"/>
    <mergeCell ref="J5:K5"/>
    <mergeCell ref="L5:P5"/>
    <mergeCell ref="A6:C6"/>
    <mergeCell ref="D6:I6"/>
    <mergeCell ref="J6:K6"/>
    <mergeCell ref="L6:P6"/>
    <mergeCell ref="A7:C7"/>
    <mergeCell ref="D7:I7"/>
    <mergeCell ref="J7:K7"/>
    <mergeCell ref="L7:P7"/>
    <mergeCell ref="A8:C8"/>
    <mergeCell ref="D8:I8"/>
    <mergeCell ref="J8:K8"/>
    <mergeCell ref="L8:P8"/>
    <mergeCell ref="A16:G16"/>
    <mergeCell ref="A17:P17"/>
    <mergeCell ref="A9:C9"/>
    <mergeCell ref="D9:I9"/>
    <mergeCell ref="J9:K9"/>
    <mergeCell ref="L9:P9"/>
    <mergeCell ref="A10:A11"/>
  </mergeCells>
  <printOptions horizontalCentered="1"/>
  <pageMargins left="0.3" right="0.3" top="0.4" bottom="0.4" header="0.3" footer="0.3"/>
  <pageSetup paperSize="9"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SYNOPSIS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QUOTE!Print_Area</vt:lpstr>
      <vt:lpstr>START!Print_Area</vt:lpstr>
      <vt:lpstr>SYNOPSIS!Print_Area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2026-10-13T12:14:30Z</cp:lastPrinted>
  <dcterms:created xsi:type="dcterms:W3CDTF">2026-10-07T09:48:02Z</dcterms:created>
  <dcterms:modified xsi:type="dcterms:W3CDTF">2026-10-14T11:45:52Z</dcterms:modified>
</cp:coreProperties>
</file>