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30430" codeName="{82680DD9-3F13-7979-5B5F-3D2375947C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dministrator\Desktop\Mega Pipes\Quotation System\DEV\"/>
    </mc:Choice>
  </mc:AlternateContent>
  <xr:revisionPtr revIDLastSave="0" documentId="13_ncr:1_{5D2DA064-115D-4AAC-9664-098A35277A69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COMPARE" sheetId="12" r:id="rId1"/>
    <sheet name="START" sheetId="1" r:id="rId2"/>
    <sheet name="QUOTE" sheetId="2" r:id="rId3"/>
    <sheet name="QUOTE_LINES" sheetId="3" r:id="rId4"/>
    <sheet name="COSTING" sheetId="4" r:id="rId5"/>
    <sheet name="OFFER" sheetId="5" r:id="rId6"/>
    <sheet name="MASTERS" sheetId="6" r:id="rId7"/>
    <sheet name="SETTINGS" sheetId="7" r:id="rId8"/>
    <sheet name="CUSTOMERS" sheetId="8" r:id="rId9"/>
    <sheet name="PLANTS" sheetId="9" r:id="rId10"/>
    <sheet name="DISTANCE_CACHE" sheetId="10" r:id="rId11"/>
    <sheet name="QUOTE_LOG" sheetId="11" r:id="rId12"/>
  </sheets>
  <functionGroups builtInGroupCount="19"/>
  <calcPr calcId="124519"/>
</workbook>
</file>

<file path=xl/sharedStrings.xml><?xml version="1.0" encoding="utf-8"?>
<sst xmlns="http://schemas.openxmlformats.org/spreadsheetml/2006/main" count="1346" uniqueCount="660">
  <si>
    <t>Mega Pipes Quotation System</t>
  </si>
  <si>
    <t>Development Workbook</t>
  </si>
  <si>
    <t>Version: DEV</t>
  </si>
  <si>
    <t>Workbook architecture initialized.</t>
  </si>
  <si>
    <t>This is the development workbook. Do not use for production quotations.</t>
  </si>
  <si>
    <t>System Status</t>
  </si>
  <si>
    <t>Environment</t>
  </si>
  <si>
    <t>DEV</t>
  </si>
  <si>
    <t>Workbook Version</t>
  </si>
  <si>
    <t>DEV-0.2</t>
  </si>
  <si>
    <t>Architecture Status</t>
  </si>
  <si>
    <t>VBA Status</t>
  </si>
  <si>
    <t>Calculation Engine</t>
  </si>
  <si>
    <t>Python reference layer pending VBA integration</t>
  </si>
  <si>
    <t>ORS</t>
  </si>
  <si>
    <t>Not implemented</t>
  </si>
  <si>
    <t>Production Status</t>
  </si>
  <si>
    <t>NOT READY</t>
  </si>
  <si>
    <t>MEGA PIPES QUOTATION</t>
  </si>
  <si>
    <t>QUOTE HEADER</t>
  </si>
  <si>
    <t>Quote Number</t>
  </si>
  <si>
    <t>Quote Date</t>
  </si>
  <si>
    <t>Enquiry Reference</t>
  </si>
  <si>
    <t>Enquiry Date</t>
  </si>
  <si>
    <t>Customer</t>
  </si>
  <si>
    <t>Contact Person</t>
  </si>
  <si>
    <t>Project / Tender</t>
  </si>
  <si>
    <t>Delivery Place</t>
  </si>
  <si>
    <t>Due Date</t>
  </si>
  <si>
    <t>Sales Person</t>
  </si>
  <si>
    <t>Plant</t>
  </si>
  <si>
    <t>Payment Terms</t>
  </si>
  <si>
    <t>Validity</t>
  </si>
  <si>
    <t>Price Basis</t>
  </si>
  <si>
    <t>PIPE REQUIREMENT</t>
  </si>
  <si>
    <t>Product</t>
  </si>
  <si>
    <t>Family</t>
  </si>
  <si>
    <t>Basis</t>
  </si>
  <si>
    <t>Size</t>
  </si>
  <si>
    <t>Thickness</t>
  </si>
  <si>
    <t>Grade</t>
  </si>
  <si>
    <t>External Coating</t>
  </si>
  <si>
    <t>Internal Coating</t>
  </si>
  <si>
    <t>Quantity</t>
  </si>
  <si>
    <t>Quantity Unit</t>
  </si>
  <si>
    <t>Pipe Length</t>
  </si>
  <si>
    <t>LineID</t>
  </si>
  <si>
    <t>QuoteID</t>
  </si>
  <si>
    <t>ProductID</t>
  </si>
  <si>
    <t>SizeMM</t>
  </si>
  <si>
    <t>ThicknessMM</t>
  </si>
  <si>
    <t>GradeID</t>
  </si>
  <si>
    <t>CoatingExternalID</t>
  </si>
  <si>
    <t>CoatingInternalID</t>
  </si>
  <si>
    <t>QuantityUnit</t>
  </si>
  <si>
    <t>PipeLengthM</t>
  </si>
  <si>
    <t>CalculatedODMM</t>
  </si>
  <si>
    <t>CalculatedIDMM</t>
  </si>
  <si>
    <t>MassKgPerM</t>
  </si>
  <si>
    <t>Metres</t>
  </si>
  <si>
    <t>PipeCount</t>
  </si>
  <si>
    <t>WeightMT</t>
  </si>
  <si>
    <t>UnitPrice</t>
  </si>
  <si>
    <t>PriceUnit</t>
  </si>
  <si>
    <t>LineTotal</t>
  </si>
  <si>
    <t>PlantID</t>
  </si>
  <si>
    <t>Status</t>
  </si>
  <si>
    <t>Pricing</t>
  </si>
  <si>
    <t>Delivery</t>
  </si>
  <si>
    <t>MASTER DATA</t>
  </si>
  <si>
    <t>Master Name</t>
  </si>
  <si>
    <t>Table Name</t>
  </si>
  <si>
    <t>Primary Key</t>
  </si>
  <si>
    <t>Description</t>
  </si>
  <si>
    <t>Products</t>
  </si>
  <si>
    <t>tblProducts</t>
  </si>
  <si>
    <t>Product definitions</t>
  </si>
  <si>
    <t>Sizes</t>
  </si>
  <si>
    <t>tblSizes</t>
  </si>
  <si>
    <t>SizeID</t>
  </si>
  <si>
    <t>Pipe sizes and basis</t>
  </si>
  <si>
    <t>tblThickness</t>
  </si>
  <si>
    <t>ThicknessID</t>
  </si>
  <si>
    <t>Pipe thickness definitions</t>
  </si>
  <si>
    <t>Grades</t>
  </si>
  <si>
    <t>tblGrades</t>
  </si>
  <si>
    <t>Material specifications</t>
  </si>
  <si>
    <t>External Coatings</t>
  </si>
  <si>
    <t>tblExternalCoatings</t>
  </si>
  <si>
    <t>CoatingID</t>
  </si>
  <si>
    <t>External coating definitions</t>
  </si>
  <si>
    <t>Internal Coatings</t>
  </si>
  <si>
    <t>tblInternalCoatings</t>
  </si>
  <si>
    <t>Internal coating definitions</t>
  </si>
  <si>
    <t>Plants</t>
  </si>
  <si>
    <t>tblPlants</t>
  </si>
  <si>
    <t>Manufacturing plants</t>
  </si>
  <si>
    <t>Customers</t>
  </si>
  <si>
    <t>tblCustomers</t>
  </si>
  <si>
    <t>CustomerID</t>
  </si>
  <si>
    <t>Customer master</t>
  </si>
  <si>
    <t>tblPaymentTerms</t>
  </si>
  <si>
    <t>PaymentTermID</t>
  </si>
  <si>
    <t>Payment terms</t>
  </si>
  <si>
    <t>Settings</t>
  </si>
  <si>
    <t>tblSettings</t>
  </si>
  <si>
    <t>SettingKey</t>
  </si>
  <si>
    <t>System settings</t>
  </si>
  <si>
    <t>ProductName</t>
  </si>
  <si>
    <t>TopCoatingRequired</t>
  </si>
  <si>
    <t>BackCoatingOptional</t>
  </si>
  <si>
    <t>PrimaryColor</t>
  </si>
  <si>
    <t>SecondaryColor</t>
  </si>
  <si>
    <t>DefaultStandard</t>
  </si>
  <si>
    <t>Active</t>
  </si>
  <si>
    <t>P01</t>
  </si>
  <si>
    <t>Bare HSAW</t>
  </si>
  <si>
    <t>HSAW</t>
  </si>
  <si>
    <t>No</t>
  </si>
  <si>
    <t>Yes</t>
  </si>
  <si>
    <t>P02</t>
  </si>
  <si>
    <t>Coated HSAW</t>
  </si>
  <si>
    <t>Optional</t>
  </si>
  <si>
    <t>P03</t>
  </si>
  <si>
    <t>Bare HFW</t>
  </si>
  <si>
    <t>HFW</t>
  </si>
  <si>
    <t>P04</t>
  </si>
  <si>
    <t>Coated HFW</t>
  </si>
  <si>
    <t>Pending</t>
  </si>
  <si>
    <t>Notes</t>
  </si>
  <si>
    <t>HSAW-ID-001</t>
  </si>
  <si>
    <t>ID</t>
  </si>
  <si>
    <t>HSAW-ID-002</t>
  </si>
  <si>
    <t>HSAW-ID-003</t>
  </si>
  <si>
    <t>HSAW-ID-004</t>
  </si>
  <si>
    <t>HSAW-OD-001</t>
  </si>
  <si>
    <t>OD</t>
  </si>
  <si>
    <t>HSAW-OD-002</t>
  </si>
  <si>
    <t>HSAW-OD-003</t>
  </si>
  <si>
    <t>HSAW-OD-004</t>
  </si>
  <si>
    <t>HSAW-OD-005</t>
  </si>
  <si>
    <t>HSAW-OD-006</t>
  </si>
  <si>
    <t>HSAW-OD-007</t>
  </si>
  <si>
    <t>HSAW-OD-008</t>
  </si>
  <si>
    <t>HSAW-OD-009</t>
  </si>
  <si>
    <t>HSAW-OD-010</t>
  </si>
  <si>
    <t>HSAW-OD-011</t>
  </si>
  <si>
    <t>HSAW-OD-012</t>
  </si>
  <si>
    <t>HFW-OD-001</t>
  </si>
  <si>
    <t>HFW-OD-002</t>
  </si>
  <si>
    <t>HFW-OD-003</t>
  </si>
  <si>
    <t>HFW-OD-004</t>
  </si>
  <si>
    <t>HFW-OD-005</t>
  </si>
  <si>
    <t>HFW-OD-006</t>
  </si>
  <si>
    <t>HFW-OD-007</t>
  </si>
  <si>
    <t>HFW-OD-008</t>
  </si>
  <si>
    <t>MinMM</t>
  </si>
  <si>
    <t>MaxMM</t>
  </si>
  <si>
    <t>HSAW-001</t>
  </si>
  <si>
    <t>HSAW-002</t>
  </si>
  <si>
    <t>HSAW-003</t>
  </si>
  <si>
    <t>HSAW-004</t>
  </si>
  <si>
    <t>HSAW-005</t>
  </si>
  <si>
    <t>HSAW-006</t>
  </si>
  <si>
    <t>HSAW-007</t>
  </si>
  <si>
    <t>HSAW-008</t>
  </si>
  <si>
    <t>HSAW-009</t>
  </si>
  <si>
    <t>HSAW-010</t>
  </si>
  <si>
    <t>HFW-001</t>
  </si>
  <si>
    <t>HFW-002</t>
  </si>
  <si>
    <t>HFW-003</t>
  </si>
  <si>
    <t>HFW-004</t>
  </si>
  <si>
    <t>HFW-005</t>
  </si>
  <si>
    <t>HFW-006</t>
  </si>
  <si>
    <t>HFW-007</t>
  </si>
  <si>
    <t>HFW-008</t>
  </si>
  <si>
    <t>HFW-009</t>
  </si>
  <si>
    <t>HFW-010</t>
  </si>
  <si>
    <t>HFW-011</t>
  </si>
  <si>
    <t>HFW-012</t>
  </si>
  <si>
    <t>HFW-013</t>
  </si>
  <si>
    <t>GradeName</t>
  </si>
  <si>
    <t>IS 3589 Fe 330</t>
  </si>
  <si>
    <t>IS 3589 Fe 410</t>
  </si>
  <si>
    <t>IS 3589 Fe 450</t>
  </si>
  <si>
    <t>API 5L B</t>
  </si>
  <si>
    <t>X42 PSL1</t>
  </si>
  <si>
    <t>X52 PSL1</t>
  </si>
  <si>
    <t>X60 PSL1</t>
  </si>
  <si>
    <t>X65 PSL1</t>
  </si>
  <si>
    <t>X70 PSL1</t>
  </si>
  <si>
    <t>X52 PSL2</t>
  </si>
  <si>
    <t>HSAW-011</t>
  </si>
  <si>
    <t>X65 PSL2</t>
  </si>
  <si>
    <t>HSAW-012</t>
  </si>
  <si>
    <t>X70 PSL2</t>
  </si>
  <si>
    <t>HSAW-013</t>
  </si>
  <si>
    <t>X80M PSL2</t>
  </si>
  <si>
    <t>IS 1239 Part-1</t>
  </si>
  <si>
    <t>IS 1161 YST210</t>
  </si>
  <si>
    <t>IS 1161 YST240</t>
  </si>
  <si>
    <t>IS 1161 YST310</t>
  </si>
  <si>
    <t>API 5L A25</t>
  </si>
  <si>
    <t>API 5L X42</t>
  </si>
  <si>
    <t>API 5L X52</t>
  </si>
  <si>
    <t>API 5L X60</t>
  </si>
  <si>
    <t>API 5L X65</t>
  </si>
  <si>
    <t>HFW-014</t>
  </si>
  <si>
    <t>API 5L X70</t>
  </si>
  <si>
    <t>HFW-015</t>
  </si>
  <si>
    <t>API 5L X80M PSL2</t>
  </si>
  <si>
    <t>HFW-016</t>
  </si>
  <si>
    <t>API 5CT H40</t>
  </si>
  <si>
    <t>HFW-017</t>
  </si>
  <si>
    <t>API 5CT J55</t>
  </si>
  <si>
    <t>HFW-018</t>
  </si>
  <si>
    <t>API 5CT K55</t>
  </si>
  <si>
    <t>CoatingName</t>
  </si>
  <si>
    <t>RateRsPerM2</t>
  </si>
  <si>
    <t>RateConfirmed</t>
  </si>
  <si>
    <t>EXT-PU-500</t>
  </si>
  <si>
    <t>PU</t>
  </si>
  <si>
    <t>500 micron</t>
  </si>
  <si>
    <t>EXT-PU-1000</t>
  </si>
  <si>
    <t>1000 micron</t>
  </si>
  <si>
    <t>EXT-3LPE</t>
  </si>
  <si>
    <t>3LPE</t>
  </si>
  <si>
    <t>EXT-3LPP</t>
  </si>
  <si>
    <t>3LPP</t>
  </si>
  <si>
    <t>EXT-FBE</t>
  </si>
  <si>
    <t>FBE</t>
  </si>
  <si>
    <t>EXT-DFBE</t>
  </si>
  <si>
    <t>DFBE</t>
  </si>
  <si>
    <t>EXT-ZRE</t>
  </si>
  <si>
    <t>Zinc Rich Epoxy</t>
  </si>
  <si>
    <t>INT-FGE-406</t>
  </si>
  <si>
    <t>Food Grade Epoxy</t>
  </si>
  <si>
    <t>406 micron</t>
  </si>
  <si>
    <t>INT-SFE</t>
  </si>
  <si>
    <t>Solvent-Free Epoxy</t>
  </si>
  <si>
    <t>INT-PU</t>
  </si>
  <si>
    <t>INT-ZRE</t>
  </si>
  <si>
    <t>INT-CL</t>
  </si>
  <si>
    <t>Cement Lining</t>
  </si>
  <si>
    <t>SETTINGS</t>
  </si>
  <si>
    <t>SettingValue</t>
  </si>
  <si>
    <t>DataType</t>
  </si>
  <si>
    <t>DefaultValue</t>
  </si>
  <si>
    <t>Editable</t>
  </si>
  <si>
    <t>Category</t>
  </si>
  <si>
    <t>GSTPct</t>
  </si>
  <si>
    <t>Number</t>
  </si>
  <si>
    <t>GST percentage</t>
  </si>
  <si>
    <t>PIPct</t>
  </si>
  <si>
    <t>Financial percentage</t>
  </si>
  <si>
    <t>FreightMethod</t>
  </si>
  <si>
    <t>B</t>
  </si>
  <si>
    <t>Text</t>
  </si>
  <si>
    <t>Freight calculation method</t>
  </si>
  <si>
    <t>Freight</t>
  </si>
  <si>
    <t>RatePerKm</t>
  </si>
  <si>
    <t>Trip rate per kilometre</t>
  </si>
  <si>
    <t>TripRateManual</t>
  </si>
  <si>
    <t>Manual legacy trip rate</t>
  </si>
  <si>
    <t>HandlingRsPerMT</t>
  </si>
  <si>
    <t>Handling cost per MT</t>
  </si>
  <si>
    <t>TrailerPayloadMT</t>
  </si>
  <si>
    <t>Trailer payload</t>
  </si>
  <si>
    <t>KmRounding</t>
  </si>
  <si>
    <t>Exact</t>
  </si>
  <si>
    <t>Distance rounding rule</t>
  </si>
  <si>
    <t>TripDirection</t>
  </si>
  <si>
    <t>One-way</t>
  </si>
  <si>
    <t>Trip direction</t>
  </si>
  <si>
    <t>UndercutRsPerMT</t>
  </si>
  <si>
    <t>Competitor undercut amount</t>
  </si>
  <si>
    <t>Competitor</t>
  </si>
  <si>
    <t>MinMarginPct</t>
  </si>
  <si>
    <t>Minimum margin</t>
  </si>
  <si>
    <t>MarketFreightRsPerMTperKm</t>
  </si>
  <si>
    <t>Market freight override</t>
  </si>
  <si>
    <t>ValidityDays</t>
  </si>
  <si>
    <t>Integer</t>
  </si>
  <si>
    <t>Offer validity days</t>
  </si>
  <si>
    <t>Commercial</t>
  </si>
  <si>
    <t>PriceUnitRule</t>
  </si>
  <si>
    <t>Follow enquiry</t>
  </si>
  <si>
    <t>Price unit behavior</t>
  </si>
  <si>
    <t>StaleDays</t>
  </si>
  <si>
    <t>Stale data threshold</t>
  </si>
  <si>
    <t>System</t>
  </si>
  <si>
    <t>EnquirySerialStart</t>
  </si>
  <si>
    <t>Initial enquiry serial</t>
  </si>
  <si>
    <t>Sequence</t>
  </si>
  <si>
    <t>ORSProfile</t>
  </si>
  <si>
    <t>driving-hgv</t>
  </si>
  <si>
    <t>ORS routing profile</t>
  </si>
  <si>
    <t>TruckUpliftPct</t>
  </si>
  <si>
    <t>Truck uplift</t>
  </si>
  <si>
    <t>DefaultSteelRate</t>
  </si>
  <si>
    <t>Default steel rate per MT</t>
  </si>
  <si>
    <t>DefaultGradeExtra</t>
  </si>
  <si>
    <t>Default grade extra</t>
  </si>
  <si>
    <t>DefaultYieldPct</t>
  </si>
  <si>
    <t>Default yield percentage</t>
  </si>
  <si>
    <t>DefaultConversion</t>
  </si>
  <si>
    <t>Default conversion cost</t>
  </si>
  <si>
    <t>DefaultFinancialPct</t>
  </si>
  <si>
    <t>Default financial percentage</t>
  </si>
  <si>
    <t>DefaultTesting</t>
  </si>
  <si>
    <t>Default testing cost</t>
  </si>
  <si>
    <t>DefaultMargin</t>
  </si>
  <si>
    <t>Default margin</t>
  </si>
  <si>
    <t>PipeLengthMin</t>
  </si>
  <si>
    <t>Minimum pipe length</t>
  </si>
  <si>
    <t>Validation</t>
  </si>
  <si>
    <t>PipeLengthMax</t>
  </si>
  <si>
    <t>Maximum pipe length</t>
  </si>
  <si>
    <t>CustomerName</t>
  </si>
  <si>
    <t>ContactPerson</t>
  </si>
  <si>
    <t>Email</t>
  </si>
  <si>
    <t>Phone</t>
  </si>
  <si>
    <t>Address</t>
  </si>
  <si>
    <t>City</t>
  </si>
  <si>
    <t>State</t>
  </si>
  <si>
    <t>Country</t>
  </si>
  <si>
    <t>PIN</t>
  </si>
  <si>
    <t>Latitude</t>
  </si>
  <si>
    <t>Longitude</t>
  </si>
  <si>
    <t>CreatedDate</t>
  </si>
  <si>
    <t>UpdatedDate</t>
  </si>
  <si>
    <t>C001</t>
  </si>
  <si>
    <t>Unipro Techno Infrastructure Pvt Ltd</t>
  </si>
  <si>
    <t>Rakesh Gupta</t>
  </si>
  <si>
    <t>Krishna Nagar, Bagodar, Jharkhand - 825322</t>
  </si>
  <si>
    <t>Bagodar</t>
  </si>
  <si>
    <t>Jharkhand</t>
  </si>
  <si>
    <t>India</t>
  </si>
  <si>
    <t>825322</t>
  </si>
  <si>
    <t>PlantName</t>
  </si>
  <si>
    <t>PlantType</t>
  </si>
  <si>
    <t>Company</t>
  </si>
  <si>
    <t>Mega Pipes Jabalpur (Maneri)</t>
  </si>
  <si>
    <t>OURS</t>
  </si>
  <si>
    <t>Mega Pipes</t>
  </si>
  <si>
    <t>Jabalpur</t>
  </si>
  <si>
    <t>Madhya Pradesh</t>
  </si>
  <si>
    <t>Mega Pipes Khopoli</t>
  </si>
  <si>
    <t>Khopoli</t>
  </si>
  <si>
    <t>Maharashtra</t>
  </si>
  <si>
    <t>PaymentTerm</t>
  </si>
  <si>
    <t>PT01</t>
  </si>
  <si>
    <t>25% Advance + balance against LC</t>
  </si>
  <si>
    <t>PT02</t>
  </si>
  <si>
    <t>100% Advance</t>
  </si>
  <si>
    <t>PT03</t>
  </si>
  <si>
    <t>30 days credit</t>
  </si>
  <si>
    <t>CacheKey</t>
  </si>
  <si>
    <t>Profile</t>
  </si>
  <si>
    <t>CustomerPIN</t>
  </si>
  <si>
    <t>CustomerLatitude</t>
  </si>
  <si>
    <t>CustomerLongitude</t>
  </si>
  <si>
    <t>DistanceKM</t>
  </si>
  <si>
    <t>DurationMinutes</t>
  </si>
  <si>
    <t>Source</t>
  </si>
  <si>
    <t>CalculatedDate</t>
  </si>
  <si>
    <t>ValidUntil</t>
  </si>
  <si>
    <t>LogID</t>
  </si>
  <si>
    <t>Timestamp</t>
  </si>
  <si>
    <t>User</t>
  </si>
  <si>
    <t>Action</t>
  </si>
  <si>
    <t>OldValue</t>
  </si>
  <si>
    <t>NewValue</t>
  </si>
  <si>
    <t>SheetName</t>
  </si>
  <si>
    <t>PHASE 5 - P1 VERIFIED</t>
  </si>
  <si>
    <t>Source imported; compile and P1 runtime verified</t>
  </si>
  <si>
    <t>CurrentEnquirySerial</t>
  </si>
  <si>
    <t>DEV local sequence counter</t>
  </si>
  <si>
    <t>MKTG/ENQ/26-27/596</t>
  </si>
  <si>
    <t>LIVE QUOTATION SUMMARY</t>
  </si>
  <si>
    <t>Total Metres</t>
  </si>
  <si>
    <t>Total Weight (MT)</t>
  </si>
  <si>
    <t>Total Pipe Count</t>
  </si>
  <si>
    <t>Total Trailers</t>
  </si>
  <si>
    <t>Subtotal (Excl. GST)</t>
  </si>
  <si>
    <t>GST @ 18%</t>
  </si>
  <si>
    <t>Grand Total (Incl. GST)</t>
  </si>
  <si>
    <t>Workflow Status</t>
  </si>
  <si>
    <t>Mode</t>
  </si>
  <si>
    <t>NORMAL (Option 1)</t>
  </si>
  <si>
    <t>Supplying Plant</t>
  </si>
  <si>
    <t>Valid Lines</t>
  </si>
  <si>
    <t>L0001</t>
  </si>
  <si>
    <t>CALCULATED</t>
  </si>
  <si>
    <t>L0002</t>
  </si>
  <si>
    <t>L0003</t>
  </si>
  <si>
    <t>L0004</t>
  </si>
  <si>
    <t>VALID</t>
  </si>
  <si>
    <t>StackingID</t>
  </si>
  <si>
    <t>MinOD_MM</t>
  </si>
  <si>
    <t>MaxOD_MM</t>
  </si>
  <si>
    <t>PipesPerTrailer</t>
  </si>
  <si>
    <t>ODCText</t>
  </si>
  <si>
    <t>STK-001</t>
  </si>
  <si>
    <t>40X8'.2"X8'.5"</t>
  </si>
  <si>
    <t>HSAW 1226-1243 ID/OD 2+2</t>
  </si>
  <si>
    <t>STK-002</t>
  </si>
  <si>
    <t>40X8'.7"X9'</t>
  </si>
  <si>
    <t>HSAW 1300-1317 ID/OD 2+2</t>
  </si>
  <si>
    <t>STK-003</t>
  </si>
  <si>
    <t>40X9'X9'.3"</t>
  </si>
  <si>
    <t>HSAW 1350-1367 ID/OD 2+2</t>
  </si>
  <si>
    <t>STK-004</t>
  </si>
  <si>
    <t>40X9'.3X9'.7"</t>
  </si>
  <si>
    <t>HSAW 1400-1417 ID/OD 2+2</t>
  </si>
  <si>
    <t>SlabID</t>
  </si>
  <si>
    <t>MinKM</t>
  </si>
  <si>
    <t>MaxKM</t>
  </si>
  <si>
    <t>TripRate</t>
  </si>
  <si>
    <t>SLB-001</t>
  </si>
  <si>
    <t>SLB-002</t>
  </si>
  <si>
    <t>SLB-003</t>
  </si>
  <si>
    <t>SLB-004</t>
  </si>
  <si>
    <t>SLB-005</t>
  </si>
  <si>
    <t>SLB-006</t>
  </si>
  <si>
    <t>PlantProductID</t>
  </si>
  <si>
    <t>PP-001</t>
  </si>
  <si>
    <t>PP-002</t>
  </si>
  <si>
    <t>PP-003</t>
  </si>
  <si>
    <t>PP-004</t>
  </si>
  <si>
    <t>PP-005</t>
  </si>
  <si>
    <t>PP-006</t>
  </si>
  <si>
    <t>P01-825322-HGV</t>
  </si>
  <si>
    <t>Reference</t>
  </si>
  <si>
    <t>P02-825322-HGV</t>
  </si>
  <si>
    <t>PLANT &amp; COMPETITOR COMPARISON</t>
  </si>
  <si>
    <t>LOG-00003</t>
  </si>
  <si>
    <t>Q-TEST-PLANT</t>
  </si>
  <si>
    <t>Administrator</t>
  </si>
  <si>
    <t>PLANT_OVERRIDE</t>
  </si>
  <si>
    <t>QUOTE</t>
  </si>
  <si>
    <t>LOGGED</t>
  </si>
  <si>
    <t>Capacity</t>
  </si>
  <si>
    <t>Plant ID</t>
  </si>
  <si>
    <t>Plant Name</t>
  </si>
  <si>
    <t>Distance (KM)</t>
  </si>
  <si>
    <t>Trips</t>
  </si>
  <si>
    <t>Freight / MT</t>
  </si>
  <si>
    <t>Landed Price / MT</t>
  </si>
  <si>
    <t>P01-110001-DRIVING-HGV</t>
  </si>
  <si>
    <t>MockTest</t>
  </si>
  <si>
    <t>P02-999999-DRIVING-HGV</t>
  </si>
  <si>
    <t>Manual</t>
  </si>
  <si>
    <t>LOG-00004</t>
  </si>
  <si>
    <t>C01</t>
  </si>
  <si>
    <t>Ratnamani Metals &amp; Tubes Ltd (Sundargarh)</t>
  </si>
  <si>
    <t>COMPETITOR</t>
  </si>
  <si>
    <t>Ratnamani</t>
  </si>
  <si>
    <t>Sundargarh, Masanikani</t>
  </si>
  <si>
    <t>Sundargarh</t>
  </si>
  <si>
    <t>Odisha</t>
  </si>
  <si>
    <t>C02</t>
  </si>
  <si>
    <t>Welspun Corp Limited (Bhopal)</t>
  </si>
  <si>
    <t>Welspun</t>
  </si>
  <si>
    <t>Bhopal Plant</t>
  </si>
  <si>
    <t>Bhopal</t>
  </si>
  <si>
    <t>C03</t>
  </si>
  <si>
    <t>MAN / JSW / Ratnamani (Anjar)</t>
  </si>
  <si>
    <t>MAN Industries</t>
  </si>
  <si>
    <t>Anjar Plant</t>
  </si>
  <si>
    <t>Anjar</t>
  </si>
  <si>
    <t>Gujarat</t>
  </si>
  <si>
    <t>C04</t>
  </si>
  <si>
    <t>Jindal Saw Ltd (Bellary)</t>
  </si>
  <si>
    <t>Jindal Saw</t>
  </si>
  <si>
    <t>Bellary Plant</t>
  </si>
  <si>
    <t>Bellary</t>
  </si>
  <si>
    <t>Karnataka</t>
  </si>
  <si>
    <t>C01-825322-HGV</t>
  </si>
  <si>
    <t>C02-825322-HGV</t>
  </si>
  <si>
    <t>C03-825322-HGV</t>
  </si>
  <si>
    <t>C04-825322-HGV</t>
  </si>
  <si>
    <t>PriceID</t>
  </si>
  <si>
    <t>CompetitorID</t>
  </si>
  <si>
    <t>CompetitorName</t>
  </si>
  <si>
    <t>ExMillRsPerMT</t>
  </si>
  <si>
    <t>PriceDate</t>
  </si>
  <si>
    <t>CP-001</t>
  </si>
  <si>
    <t>Fresh tender quote</t>
  </si>
  <si>
    <t>CP-002</t>
  </si>
  <si>
    <t>Old bid price</t>
  </si>
  <si>
    <t>CP-003</t>
  </si>
  <si>
    <t>No recent quote</t>
  </si>
  <si>
    <t>CP-004</t>
  </si>
  <si>
    <t>Recent market intelligence</t>
  </si>
  <si>
    <t>COMPETITOR COMPARISON</t>
  </si>
  <si>
    <t>Competitor Name</t>
  </si>
  <si>
    <t>Road KM</t>
  </si>
  <si>
    <t>Ex-Mill / MT</t>
  </si>
  <si>
    <t>Landed / MT</t>
  </si>
  <si>
    <t>Diff vs Ours</t>
  </si>
  <si>
    <t>Price Status</t>
  </si>
  <si>
    <t>Proximity Note</t>
  </si>
  <si>
    <t>CURRENT</t>
  </si>
  <si>
    <t>CLOSER THAN OUR PLANT</t>
  </si>
  <si>
    <t>STALE</t>
  </si>
  <si>
    <t>N/A</t>
  </si>
  <si>
    <t>price needed</t>
  </si>
  <si>
    <t>Recommended Offer (Undercut Rs 500):</t>
  </si>
  <si>
    <t>FLOOR_PROTECTED: Floor price (88717.00) exceeds competitor target (83199.00)</t>
  </si>
  <si>
    <t>LOG-00005</t>
  </si>
  <si>
    <t>Date: 13-10-2026</t>
  </si>
  <si>
    <t>TO BE SUPPLIED FROM Mega Pipes Khopoli</t>
  </si>
  <si>
    <t>Owner</t>
  </si>
  <si>
    <t>Pipe Type</t>
  </si>
  <si>
    <t>HSAW Coated</t>
  </si>
  <si>
    <t>Enquiry No</t>
  </si>
  <si>
    <t>Delivery Location</t>
  </si>
  <si>
    <t>Sr.No.</t>
  </si>
  <si>
    <t>total</t>
  </si>
  <si>
    <t>Pipe OD (Inch)</t>
  </si>
  <si>
    <t>Pipe ID (mm)</t>
  </si>
  <si>
    <t>Pipe OD (mm)</t>
  </si>
  <si>
    <t>WT (mm)</t>
  </si>
  <si>
    <t>Mass (MT/Mtr)</t>
  </si>
  <si>
    <t>Qty (Mtr)</t>
  </si>
  <si>
    <t>Qty (MT)</t>
  </si>
  <si>
    <t>Coating factor</t>
  </si>
  <si>
    <t>Pipe Weight (MT)</t>
  </si>
  <si>
    <t>Pipe Nos</t>
  </si>
  <si>
    <t>Steel BEN + GE</t>
  </si>
  <si>
    <t>Steel Cost (Delivered)</t>
  </si>
  <si>
    <t>Yield Loss @ 2%</t>
  </si>
  <si>
    <t>Conversion</t>
  </si>
  <si>
    <t>FC-1.5% + 25% adv. Bal against LC</t>
  </si>
  <si>
    <t>Bare Pipe Price</t>
  </si>
  <si>
    <t>Ext: PU (1000 Micron)</t>
  </si>
  <si>
    <t>Int:  FGE (406 Micron)</t>
  </si>
  <si>
    <t>Ex Mill Price</t>
  </si>
  <si>
    <t>Freight : Bagodar (Stacking)</t>
  </si>
  <si>
    <t>Sub Total</t>
  </si>
  <si>
    <t>Grand Total GST INC.</t>
  </si>
  <si>
    <t>Total Value (Excl. GST)</t>
  </si>
  <si>
    <t>Bare Pipe Price/meter</t>
  </si>
  <si>
    <t>EXT Coating Price/meter</t>
  </si>
  <si>
    <t>INT Coating Price/meter</t>
  </si>
  <si>
    <t>Freight Price/meter</t>
  </si>
  <si>
    <t>Total Price/meter</t>
  </si>
  <si>
    <t>LOG-00006</t>
  </si>
  <si>
    <t>Offer Number</t>
  </si>
  <si>
    <t>MEGA/OFFER/26-27/594</t>
  </si>
  <si>
    <t>17th September 2026</t>
  </si>
  <si>
    <t xml:space="preserve">Purchaser : </t>
  </si>
  <si>
    <t xml:space="preserve">Project : </t>
  </si>
  <si>
    <t>Pipeline Infrastructure Project</t>
  </si>
  <si>
    <t xml:space="preserve">Manufacturer : </t>
  </si>
  <si>
    <t>M/s. Mega Pipes Pvt Limited (Jabalpur)</t>
  </si>
  <si>
    <t>Sr. No.</t>
  </si>
  <si>
    <t>Types of pipes</t>
  </si>
  <si>
    <t>Specifications</t>
  </si>
  <si>
    <t>Unit Price of Pipe on Delivered basis (GST Excl.)</t>
  </si>
  <si>
    <t>Total Price of pipes on Delivered basis (GST Excl.)</t>
  </si>
  <si>
    <t>OD (MM)</t>
  </si>
  <si>
    <t>WT (MM)</t>
  </si>
  <si>
    <t>MTR</t>
  </si>
  <si>
    <t>INR/Mtr</t>
  </si>
  <si>
    <t>INR</t>
  </si>
  <si>
    <t>IS3589 Fe 410</t>
  </si>
  <si>
    <t>TOTAL</t>
  </si>
  <si>
    <t>Total Amount in Words: Rupees Seventeen Crore Eighty Six Lakh Fifty Seven Thousand Nine Hundred Only</t>
  </si>
  <si>
    <t>All taxes and duties like GST shall be extra at actuals. The prevailing rate at the time of dispatch shall be levied. Current Rate of GST is 18%.</t>
  </si>
  <si>
    <t>TERMS &amp; CONDITIONS</t>
  </si>
  <si>
    <t>Price</t>
  </si>
  <si>
    <t>Our Price CIF for Krishna Nagar, Bagodar, Jharkhand - 825322
The prices are offered are in meter basis.</t>
  </si>
  <si>
    <t>Scope of Supply</t>
  </si>
  <si>
    <t>Manufacture &amp; Supply of Coated MS (HSAW) Pipes conforming to IS 3589. Pipes will be manufactured &amp; supplied from our Jabalpur Plant in MP. External Coating- PU 1000 Micron, Internal coating- FGE 406 micron. Dispatch will be on stacking basis we have not considered Nesting.</t>
  </si>
  <si>
    <t>Price Validity</t>
  </si>
  <si>
    <t>Offer is valid for placement of order for 5 days (i.e. 15th September 2026), thereafter subject to our written reconfirmation.</t>
  </si>
  <si>
    <t>The Payment terms offered are 25% Advance and Balance against Letter of Credit. The LC to be established within 7 days of PO placement.</t>
  </si>
  <si>
    <t>TDS Under 194Q</t>
  </si>
  <si>
    <t>The buyer is responsible for deducting TDS under section 194Q. The TDS Amount needs to be deposited with the tax authorities &amp; it is the responsibility of the buyer to ensure TDS certificates are submitted in a timely manner each quarter.</t>
  </si>
  <si>
    <t>Raw Material Procurement</t>
  </si>
  <si>
    <t>Procurement of raw materials will commence upon receipt of PO, Advance or QAP whichever is received later. Any delay in LC opening &amp; increase in raw material prices during procurement will affect finalized rates.</t>
  </si>
  <si>
    <t>Interest</t>
  </si>
  <si>
    <t>Any delay in payments transfer shall attract interest at 12% pa. Delay beyond agreed date shall attract penal interest @ 15% pa.</t>
  </si>
  <si>
    <t>Weight of Pipes</t>
  </si>
  <si>
    <t>The weight of pipes at the weighment bridge of Mega-Pipes shall be considered final.</t>
  </si>
  <si>
    <t>Quantity Variation</t>
  </si>
  <si>
    <t>Any change/variation in ordered quantity/wall thickness to max +/- 5% shall be confirmed within 10 days of PO but before coil receipt.</t>
  </si>
  <si>
    <t>Quantity Tolerance</t>
  </si>
  <si>
    <t>Quantity tolerance to the tune of +/- 3 pipes item-wise. LC should allow quantity/value tolerance accordingly.</t>
  </si>
  <si>
    <t>Commencement of production shall be within 45 to 60 days from PO date, LC opening &amp; QAP approval whichever is later. Production completed within 60 days from commencement.</t>
  </si>
  <si>
    <t>Packing &amp; Forwarding</t>
  </si>
  <si>
    <t>Pipes supplied LOOSE without packing as per standards. Unloading at site in your scope. Transporter provides 24 hours for unloading; delay results in demurrage.</t>
  </si>
  <si>
    <t>Part Order</t>
  </si>
  <si>
    <t>Prices considered are for full quantity, Part order not acceptable.</t>
  </si>
  <si>
    <t>Considered with maximum loading of pipes on trailer. Lesser pipes sent will result in proportionate freight increase.</t>
  </si>
  <si>
    <t>Logistic Conditions</t>
  </si>
  <si>
    <t>If unloading site is in a remote area with narrow access, trailers deliver to nearest accessible highway; subsequent transport in customer scope.</t>
  </si>
  <si>
    <t>Guarantee</t>
  </si>
  <si>
    <t>Material guaranteed against manufacturing defects for 12 months from date of Inspection Release Note.</t>
  </si>
  <si>
    <t>Cancellation Schedule</t>
  </si>
  <si>
    <t>If order cancelled before raw material procurement, advance adjusted towards damages. If after procurement, all HR coil damages in customer account.</t>
  </si>
  <si>
    <t>Force Majeure</t>
  </si>
  <si>
    <t>Supply subject to standard Force Majeure conditions beyond reasonable control.</t>
  </si>
  <si>
    <t>Min 90% of pipes between 11 &amp; 12 meters; max 10% between 9 &amp; 11 meters.</t>
  </si>
  <si>
    <t>Thickness Tolerance</t>
  </si>
  <si>
    <t>No negative tolerance on thickness as per IS 8329 / IS 3589.</t>
  </si>
  <si>
    <t>Ovality of Pipes</t>
  </si>
  <si>
    <t>D/T &lt;= 100: 1% of OD; D/T &gt; 100: 2% of OD.</t>
  </si>
  <si>
    <t>Testing</t>
  </si>
  <si>
    <t>Third Party Inspection charges in buyer's scope.</t>
  </si>
  <si>
    <t>Inspections</t>
  </si>
  <si>
    <t>Testing carried out in our in-house lab at plant. Mill Test Certificate provided. Free in-process TPI access provided.</t>
  </si>
  <si>
    <t>Technical</t>
  </si>
  <si>
    <t>Proposal based on IS 3589 Fe 410 / API 5L Equivalent specification.</t>
  </si>
  <si>
    <t>Skelp joint</t>
  </si>
  <si>
    <t>Skelp joint considered as allowed by BIS standard.</t>
  </si>
  <si>
    <t>Steel Origin</t>
  </si>
  <si>
    <t>Steel procured from approved mills: JSW, AMNS, Tata Steel, Jindal Steel &amp; Power, SAIL, NMDC.</t>
  </si>
  <si>
    <t>Steel Coil Rate</t>
  </si>
  <si>
    <t>Based on today's HR coil market rate, subject to prevailing rate at order finalization.</t>
  </si>
  <si>
    <t>For Mega Pipes Pvt. Limited</t>
  </si>
  <si>
    <t>Authorized Signatory</t>
  </si>
  <si>
    <t>LOG-00007</t>
  </si>
  <si>
    <t>LOG-00008</t>
  </si>
  <si>
    <t>LOG-00009</t>
  </si>
  <si>
    <t>LOG-00010</t>
  </si>
  <si>
    <t>SNAPSHOT_SAVE</t>
  </si>
  <si>
    <t>SAVED</t>
  </si>
  <si>
    <t>Snapshot saved: R0 (MKTG_ENQ_26-27_596_R0_Administrator.xlsx)</t>
  </si>
  <si>
    <t>LOG-00011</t>
  </si>
  <si>
    <t>SNAPSHOT_LOAD</t>
  </si>
  <si>
    <t>LOADED</t>
  </si>
  <si>
    <t>Snapshot reloaded from C:\Users\Administrator\Desktop\Mega Pipes\Quotation System\DEV\Quotes\26-27\MKTG_ENQ_26-27_596_R0_Administrator.xlsx</t>
  </si>
  <si>
    <t>LOG-00012</t>
  </si>
  <si>
    <t>Snapshot saved: R1 (MKTG_ENQ_26-27_596_R1_Administrator.xlsx)</t>
  </si>
  <si>
    <t>LOG-00013</t>
  </si>
  <si>
    <t>LOG-00014</t>
  </si>
  <si>
    <t>LOG-00015</t>
  </si>
  <si>
    <t>MKTG/ENQ/26-27/TEST-SNAP</t>
  </si>
  <si>
    <t>Snapshot saved: R0 (MKTG_ENQ_26-27_TEST-SNAP_R0_Administrator.xlsx)</t>
  </si>
  <si>
    <t>LOG-00016</t>
  </si>
  <si>
    <t>Snapshot reloaded from C:\Users\Administrator\Desktop\Mega Pipes\Quotation System\DEV\Quotes\26-27\MKTG_ENQ_26-27_TEST-SNAP_R0_Administrator.xlsx</t>
  </si>
  <si>
    <t>LOG-00017</t>
  </si>
  <si>
    <t>Snapshot saved: R1 (MKTG_ENQ_26-27_TEST-SNAP_R1_Administrator.xlsx)</t>
  </si>
  <si>
    <t>LastSyncStatus</t>
  </si>
  <si>
    <t>SUCCESS</t>
  </si>
  <si>
    <t>LOG-00018</t>
  </si>
  <si>
    <t>SYSTEM</t>
  </si>
  <si>
    <t>MASTER_SYNC</t>
  </si>
  <si>
    <t>MASTERS</t>
  </si>
  <si>
    <t>SYNCED</t>
  </si>
  <si>
    <t>Synced from C:\Users\ADMINI~1\AppData\Local\Temp\MegaPipes_SyncTest_104319\Masters\Masters_Central.xlsx</t>
  </si>
  <si>
    <t>OFFLINE_LOCAL</t>
  </si>
  <si>
    <t>Central master file missing; using local masters</t>
  </si>
  <si>
    <t>LOG-00019</t>
  </si>
  <si>
    <t>LOG-00020</t>
  </si>
  <si>
    <t>LOG-00021</t>
  </si>
  <si>
    <t>LOG-00022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</si>
</sst>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₹&quot;\ #,##0.00;&quot;₹&quot;\ \-#,##0.00"/>
    <numFmt numFmtId="164" formatCode="#,##0.000"/>
    <numFmt numFmtId="165" formatCode="0.00000000"/>
  </numFmts>
  <fonts count="18" x14ac:knownFonts="1">
    <font>
      <sz val="11"/>
      <color theme="1"/>
      <name val="Calibri"/>
      <family val="2"/>
      <scheme val="minor"/>
    </font>
    <font>
      <b/>
      <sz val="16"/>
      <color rgb="FFFFFF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0"/>
      <color rgb="FFFFFFFF"/>
      <name val="Aptos"/>
      <family val="2"/>
    </font>
    <font>
      <sz val="10"/>
      <color theme="1"/>
      <name val="Aptos"/>
      <family val="2"/>
    </font>
    <font>
      <b/>
      <sz val="10"/>
      <color theme="1"/>
      <name val="Aptos"/>
      <family val="2"/>
    </font>
    <font>
      <sz val="10"/>
      <color rgb="FFFFFFFF"/>
      <name val="Aptos"/>
      <family val="2"/>
    </font>
    <font>
      <b/>
      <sz val="10"/>
      <color rgb="FFFFFFFF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i/>
      <sz val="11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1F4E78"/>
        <bgColor indexed="64"/>
      </patternFill>
    </fill>
    <fill>
      <patternFill patternType="solid">
        <fgColor rgb="FFF3F6F9"/>
        <bgColor indexed="64"/>
      </patternFill>
    </fill>
    <fill>
      <patternFill patternType="solid">
        <fgColor rgb="FF1A5E3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5B4E3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70AD47"/>
        <bgColor indexed="64"/>
      </patternFill>
    </fill>
    <fill>
      <patternFill patternType="solid">
        <fgColor rgb="FFA9D18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4B8C1"/>
        <bgColor indexed="64"/>
      </patternFill>
    </fill>
    <fill>
      <patternFill patternType="solid">
        <fgColor rgb="FFDDEEFF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0">
    <xf numFmtId="0" fontId="0" fillId="0" borderId="0" xfId="0"/>
    <xf numFmtId="0" fontId="1" fillId="2" borderId="0" xfId="0" applyFont="1" applyFill="1"/>
    <xf numFmtId="0" fontId="2" fillId="2" borderId="1" xfId="0" applyFont="1" applyFill="1" applyBorder="1"/>
    <xf numFmtId="0" fontId="3" fillId="3" borderId="1" xfId="0" applyFont="1" applyFill="1" applyBorder="1"/>
    <xf numFmtId="0" fontId="0" fillId="0" borderId="1" xfId="0" applyBorder="1"/>
    <xf numFmtId="0" fontId="5" fillId="2" borderId="0" xfId="0" applyFont="1" applyFill="1" applyAlignment="1">
      <alignment vertical="center"/>
    </xf>
    <xf numFmtId="0" fontId="6" fillId="0" borderId="0" xfId="0" applyFont="1" applyAlignment="1">
      <alignment vertical="center"/>
    </xf>
    <xf numFmtId="0" fontId="5" fillId="2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vertical="center"/>
    </xf>
    <xf numFmtId="0" fontId="6" fillId="0" borderId="1" xfId="0" applyFont="1" applyBorder="1" applyAlignment="1">
      <alignment vertical="center"/>
    </xf>
    <xf numFmtId="0" fontId="8" fillId="2" borderId="0" xfId="0" applyFont="1" applyFill="1" applyAlignment="1">
      <alignment vertical="center"/>
    </xf>
    <xf numFmtId="14" fontId="6" fillId="0" borderId="1" xfId="0" applyNumberFormat="1" applyFont="1" applyBorder="1" applyAlignment="1">
      <alignment vertical="center"/>
    </xf>
    <xf numFmtId="14" fontId="0" fillId="0" borderId="0" xfId="0" applyNumberFormat="1"/>
    <xf numFmtId="0" fontId="12" fillId="0" borderId="0" xfId="0" applyFont="1"/>
    <xf numFmtId="22" fontId="0" fillId="0" borderId="0" xfId="0" applyNumberFormat="1"/>
    <xf numFmtId="0" fontId="3" fillId="6" borderId="0" xfId="0" applyFont="1" applyFill="1"/>
    <xf numFmtId="7" fontId="0" fillId="0" borderId="0" xfId="0" applyNumberFormat="1"/>
    <xf numFmtId="0" fontId="3" fillId="0" borderId="0" xfId="0" applyFont="1"/>
    <xf numFmtId="0" fontId="13" fillId="0" borderId="0" xfId="0" applyFont="1"/>
    <xf numFmtId="0" fontId="3" fillId="7" borderId="0" xfId="0" applyFont="1" applyFill="1"/>
    <xf numFmtId="0" fontId="0" fillId="5" borderId="0" xfId="0" applyFill="1"/>
    <xf numFmtId="0" fontId="2" fillId="4" borderId="0" xfId="0" applyFont="1" applyFill="1"/>
    <xf numFmtId="0" fontId="17" fillId="0" borderId="0" xfId="0" applyFont="1"/>
    <xf numFmtId="0" fontId="0" fillId="0" borderId="0" xfId="0" applyAlignment="1">
      <alignment wrapText="1"/>
    </xf>
    <xf numFmtId="0" fontId="15" fillId="7" borderId="2" xfId="0" applyFont="1" applyFill="1" applyBorder="1"/>
    <xf numFmtId="0" fontId="2" fillId="4" borderId="2" xfId="0" applyFont="1" applyFill="1" applyBorder="1"/>
    <xf numFmtId="0" fontId="14" fillId="8" borderId="2" xfId="0" applyFont="1" applyFill="1" applyBorder="1"/>
    <xf numFmtId="0" fontId="14" fillId="9" borderId="2" xfId="0" applyFont="1" applyFill="1" applyBorder="1"/>
    <xf numFmtId="165" fontId="14" fillId="9" borderId="2" xfId="0" applyNumberFormat="1" applyFont="1" applyFill="1" applyBorder="1"/>
    <xf numFmtId="0" fontId="15" fillId="5" borderId="2" xfId="0" applyFont="1" applyFill="1" applyBorder="1"/>
    <xf numFmtId="0" fontId="14" fillId="10" borderId="2" xfId="0" applyFont="1" applyFill="1" applyBorder="1"/>
    <xf numFmtId="0" fontId="0" fillId="0" borderId="2" xfId="0" applyBorder="1"/>
    <xf numFmtId="0" fontId="14" fillId="11" borderId="2" xfId="0" applyFont="1" applyFill="1" applyBorder="1"/>
    <xf numFmtId="0" fontId="16" fillId="12" borderId="2" xfId="0" applyFont="1" applyFill="1" applyBorder="1"/>
    <xf numFmtId="0" fontId="14" fillId="13" borderId="2" xfId="0" applyFont="1" applyFill="1" applyBorder="1"/>
    <xf numFmtId="0" fontId="15" fillId="10" borderId="2" xfId="0" applyFont="1" applyFill="1" applyBorder="1"/>
    <xf numFmtId="0" fontId="2" fillId="8" borderId="2" xfId="0" applyFont="1" applyFill="1" applyBorder="1"/>
    <xf numFmtId="0" fontId="0" fillId="0" borderId="2" xfId="0" applyFont="1" applyBorder="1"/>
    <xf numFmtId="3" fontId="0" fillId="0" borderId="2" xfId="0" applyNumberFormat="1" applyBorder="1"/>
    <xf numFmtId="3" fontId="15" fillId="5" borderId="2" xfId="0" applyNumberFormat="1" applyFont="1" applyFill="1" applyBorder="1"/>
    <xf numFmtId="0" fontId="9" fillId="4" borderId="3" xfId="0" applyFont="1" applyFill="1" applyBorder="1" applyAlignment="1">
      <alignment horizontal="center"/>
    </xf>
    <xf numFmtId="0" fontId="10" fillId="0" borderId="3" xfId="0" applyFont="1" applyBorder="1" applyAlignment="1">
      <alignment horizontal="center"/>
    </xf>
    <xf numFmtId="0" fontId="10" fillId="0" borderId="3" xfId="0" applyFont="1" applyBorder="1"/>
    <xf numFmtId="4" fontId="10" fillId="0" borderId="3" xfId="0" applyNumberFormat="1" applyFont="1" applyBorder="1"/>
    <xf numFmtId="164" fontId="10" fillId="0" borderId="3" xfId="0" applyNumberFormat="1" applyFont="1" applyBorder="1"/>
    <xf numFmtId="3" fontId="10" fillId="0" borderId="3" xfId="0" applyNumberFormat="1" applyFont="1" applyBorder="1"/>
    <xf numFmtId="4" fontId="11" fillId="0" borderId="3" xfId="0" applyNumberFormat="1" applyFont="1" applyBorder="1"/>
    <xf numFmtId="0" fontId="11" fillId="5" borderId="3" xfId="0" applyFont="1" applyFill="1" applyBorder="1"/>
    <xf numFmtId="4" fontId="11" fillId="5" borderId="3" xfId="0" applyNumberFormat="1" applyFont="1" applyFill="1" applyBorder="1"/>
    <xf numFmtId="16" fontId="10" fillId="0" borderId="3" xfId="0" applyNumberFormat="1" applyFont="1" applyBorder="1"/>
  </cellXfs>
  <cellStyles count="1">
    <cellStyle name="Normal" xfId="0" builtinId="0"/>
  </cellStyles>
  <dxfs count="1">
    <dxf>
      <numFmt numFmtId="19" formatCode="dd/mm/yyyy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1403350</xdr:colOff>
          <xdr:row>18</xdr:row>
          <xdr:rowOff>0</xdr:rowOff>
        </xdr:from>
        <xdr:to>
          <xdr:col>1</xdr:col>
          <xdr:colOff>3308350</xdr:colOff>
          <xdr:row>21</xdr:row>
          <xdr:rowOff>69850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Enter System</a:t>
              </a:r>
            </a:p>
            <a:p>
              <a:pPr algn="ctr" rtl="0">
                <a:defRPr sz="1000"/>
              </a:pPr>
              <a:endParaRPr lang="en-IN" sz="11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QuoteLines" displayName="tblQuoteLines" ref="A3:X7" totalsRowShown="0">
  <autoFilter ref="A3:X7" xr:uid="{00000000-0009-0000-0100-000001000000}"/>
  <tableColumns count="24">
    <tableColumn id="1" xr3:uid="{00000000-0010-0000-0000-000001000000}" name="LineID"/>
    <tableColumn id="2" xr3:uid="{00000000-0010-0000-0000-000002000000}" name="QuoteID"/>
    <tableColumn id="3" xr3:uid="{00000000-0010-0000-0000-000003000000}" name="ProductID"/>
    <tableColumn id="4" xr3:uid="{00000000-0010-0000-0000-000004000000}" name="Family"/>
    <tableColumn id="5" xr3:uid="{00000000-0010-0000-0000-000005000000}" name="Basis"/>
    <tableColumn id="6" xr3:uid="{00000000-0010-0000-0000-000006000000}" name="SizeMM"/>
    <tableColumn id="7" xr3:uid="{00000000-0010-0000-0000-000007000000}" name="ThicknessMM"/>
    <tableColumn id="8" xr3:uid="{00000000-0010-0000-0000-000008000000}" name="GradeID"/>
    <tableColumn id="9" xr3:uid="{00000000-0010-0000-0000-000009000000}" name="CoatingExternalID"/>
    <tableColumn id="10" xr3:uid="{00000000-0010-0000-0000-00000A000000}" name="CoatingInternalID"/>
    <tableColumn id="11" xr3:uid="{00000000-0010-0000-0000-00000B000000}" name="Quantity"/>
    <tableColumn id="12" xr3:uid="{00000000-0010-0000-0000-00000C000000}" name="QuantityUnit"/>
    <tableColumn id="13" xr3:uid="{00000000-0010-0000-0000-00000D000000}" name="PipeLengthM"/>
    <tableColumn id="14" xr3:uid="{00000000-0010-0000-0000-00000E000000}" name="CalculatedODMM"/>
    <tableColumn id="15" xr3:uid="{00000000-0010-0000-0000-00000F000000}" name="CalculatedIDMM"/>
    <tableColumn id="16" xr3:uid="{00000000-0010-0000-0000-000010000000}" name="MassKgPerM"/>
    <tableColumn id="17" xr3:uid="{00000000-0010-0000-0000-000011000000}" name="Metres"/>
    <tableColumn id="18" xr3:uid="{00000000-0010-0000-0000-000012000000}" name="PipeCount"/>
    <tableColumn id="19" xr3:uid="{00000000-0010-0000-0000-000013000000}" name="WeightMT"/>
    <tableColumn id="20" xr3:uid="{00000000-0010-0000-0000-000014000000}" name="UnitPrice"/>
    <tableColumn id="21" xr3:uid="{00000000-0010-0000-0000-000015000000}" name="PriceUnit"/>
    <tableColumn id="22" xr3:uid="{00000000-0010-0000-0000-000016000000}" name="LineTotal"/>
    <tableColumn id="23" xr3:uid="{00000000-0010-0000-0000-000017000000}" name="PlantID"/>
    <tableColumn id="24" xr3:uid="{00000000-0010-0000-0000-000018000000}" name="Statu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Products" displayName="tblProducts" ref="A17:I22" totalsRowShown="0">
  <autoFilter ref="A17:I22" xr:uid="{00000000-0009-0000-0100-000002000000}"/>
  <tableColumns count="9">
    <tableColumn id="1" xr3:uid="{00000000-0010-0000-0100-000001000000}" name="ProductID"/>
    <tableColumn id="2" xr3:uid="{00000000-0010-0000-0100-000002000000}" name="ProductName"/>
    <tableColumn id="3" xr3:uid="{00000000-0010-0000-0100-000003000000}" name="Family"/>
    <tableColumn id="4" xr3:uid="{00000000-0010-0000-0100-000004000000}" name="TopCoatingRequired"/>
    <tableColumn id="5" xr3:uid="{00000000-0010-0000-0100-000005000000}" name="BackCoatingOptional"/>
    <tableColumn id="6" xr3:uid="{00000000-0010-0000-0100-000006000000}" name="PrimaryColor"/>
    <tableColumn id="7" xr3:uid="{00000000-0010-0000-0100-000007000000}" name="SecondaryColor"/>
    <tableColumn id="8" xr3:uid="{00000000-0010-0000-0100-000008000000}" name="DefaultStandard"/>
    <tableColumn id="9" xr3:uid="{00000000-0010-0000-0100-000009000000}" name="Activ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blSizes" displayName="tblSizes" ref="A24:G49" totalsRowShown="0">
  <autoFilter ref="A24:G49" xr:uid="{00000000-0009-0000-0100-000003000000}"/>
  <tableColumns count="7">
    <tableColumn id="1" xr3:uid="{00000000-0010-0000-0200-000001000000}" name="SizeID"/>
    <tableColumn id="2" xr3:uid="{00000000-0010-0000-0200-000002000000}" name="Family"/>
    <tableColumn id="3" xr3:uid="{00000000-0010-0000-0200-000003000000}" name="Basis"/>
    <tableColumn id="4" xr3:uid="{00000000-0010-0000-0200-000004000000}" name="SizeMM"/>
    <tableColumn id="5" xr3:uid="{00000000-0010-0000-0200-000005000000}" name="Active"/>
    <tableColumn id="6" xr3:uid="{00000000-0010-0000-0200-000006000000}" name="Pending"/>
    <tableColumn id="7" xr3:uid="{00000000-0010-0000-0200-000007000000}" name="Not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Thickness" displayName="tblThickness" ref="A53:F77" totalsRowShown="0">
  <autoFilter ref="A53:F77" xr:uid="{00000000-0009-0000-0100-000004000000}"/>
  <tableColumns count="6">
    <tableColumn id="1" xr3:uid="{00000000-0010-0000-0300-000001000000}" name="ThicknessID"/>
    <tableColumn id="2" xr3:uid="{00000000-0010-0000-0300-000002000000}" name="Family"/>
    <tableColumn id="3" xr3:uid="{00000000-0010-0000-0300-000003000000}" name="ThicknessMM"/>
    <tableColumn id="4" xr3:uid="{00000000-0010-0000-0300-000004000000}" name="MinMM"/>
    <tableColumn id="5" xr3:uid="{00000000-0010-0000-0300-000005000000}" name="MaxMM"/>
    <tableColumn id="6" xr3:uid="{00000000-0010-0000-0300-000006000000}" name="Active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blGrades" displayName="tblGrades" ref="A80:D112" totalsRowShown="0">
  <autoFilter ref="A80:D112" xr:uid="{00000000-0009-0000-0100-000005000000}"/>
  <tableColumns count="4">
    <tableColumn id="1" xr3:uid="{00000000-0010-0000-0400-000001000000}" name="GradeID"/>
    <tableColumn id="2" xr3:uid="{00000000-0010-0000-0400-000002000000}" name="Family"/>
    <tableColumn id="3" xr3:uid="{00000000-0010-0000-0400-000003000000}" name="GradeName"/>
    <tableColumn id="4" xr3:uid="{00000000-0010-0000-0400-000004000000}" name="Active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blExternalCoatings" displayName="tblExternalCoatings" ref="A115:F123" totalsRowShown="0">
  <autoFilter ref="A115:F123" xr:uid="{00000000-0009-0000-0100-000006000000}"/>
  <tableColumns count="6">
    <tableColumn id="1" xr3:uid="{00000000-0010-0000-0500-000001000000}" name="CoatingID"/>
    <tableColumn id="2" xr3:uid="{00000000-0010-0000-0500-000002000000}" name="CoatingName"/>
    <tableColumn id="3" xr3:uid="{00000000-0010-0000-0500-000003000000}" name="Thickness"/>
    <tableColumn id="4" xr3:uid="{00000000-0010-0000-0500-000004000000}" name="RateRsPerM2"/>
    <tableColumn id="5" xr3:uid="{00000000-0010-0000-0500-000005000000}" name="RateConfirmed"/>
    <tableColumn id="6" xr3:uid="{00000000-0010-0000-0500-000006000000}" name="Active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blInternalCoatings" displayName="tblInternalCoatings" ref="A125:F131" totalsRowShown="0">
  <autoFilter ref="A125:F131" xr:uid="{00000000-0009-0000-0100-000007000000}"/>
  <tableColumns count="6">
    <tableColumn id="1" xr3:uid="{00000000-0010-0000-0600-000001000000}" name="CoatingID"/>
    <tableColumn id="2" xr3:uid="{00000000-0010-0000-0600-000002000000}" name="CoatingName"/>
    <tableColumn id="3" xr3:uid="{00000000-0010-0000-0600-000003000000}" name="Thickness"/>
    <tableColumn id="4" xr3:uid="{00000000-0010-0000-0600-000004000000}" name="RateRsPerM2"/>
    <tableColumn id="5" xr3:uid="{00000000-0010-0000-0600-000005000000}" name="RateConfirmed"/>
    <tableColumn id="6" xr3:uid="{00000000-0010-0000-0600-000006000000}" name="Activ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blPaymentTerms" displayName="tblPaymentTerms" ref="A134:C138" totalsRowShown="0">
  <autoFilter ref="A134:C138" xr:uid="{00000000-0009-0000-0100-000008000000}"/>
  <tableColumns count="3">
    <tableColumn id="1" xr3:uid="{00000000-0010-0000-0700-000001000000}" name="PaymentTermID"/>
    <tableColumn id="2" xr3:uid="{00000000-0010-0000-0700-000002000000}" name="PaymentTerm"/>
    <tableColumn id="3" xr3:uid="{00000000-0010-0000-0700-000003000000}" name="Active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878ED00A-5E56-4892-8942-2248F21B48D9}" name="tblStacking" displayName="tblStacking" ref="A142:F146" totalsRowShown="0">
  <autoFilter ref="A142:F146" xr:uid="{878ED00A-5E56-4892-8942-2248F21B48D9}"/>
  <tableColumns count="6">
    <tableColumn id="1" xr3:uid="{EB74511E-7946-4856-A65B-005B68FD2D14}" name="StackingID"/>
    <tableColumn id="2" xr3:uid="{9F919BEF-D6D1-4ECA-AB07-0704BFF253CE}" name="MinOD_MM"/>
    <tableColumn id="3" xr3:uid="{773100C7-6786-44A7-A681-C82937D33614}" name="MaxOD_MM"/>
    <tableColumn id="4" xr3:uid="{846AAD67-DDF2-407B-AA93-D742392E306E}" name="PipesPerTrailer"/>
    <tableColumn id="5" xr3:uid="{402E1723-3514-42F4-A551-DFB8DAB2F86A}" name="ODCText"/>
    <tableColumn id="6" xr3:uid="{6F19F487-CF88-48B7-866E-6716094E208C}" name="Description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E2C89BA-1CCB-4894-AA5D-0A7E4E6E9034}" name="tblSlabs" displayName="tblSlabs" ref="A150:D156" totalsRowShown="0">
  <autoFilter ref="A150:D156" xr:uid="{6E2C89BA-1CCB-4894-AA5D-0A7E4E6E9034}"/>
  <tableColumns count="4">
    <tableColumn id="1" xr3:uid="{8BB02D09-7C65-4956-9B12-FA4B5F40131E}" name="SlabID"/>
    <tableColumn id="2" xr3:uid="{2B57AB1E-E89D-4A02-B87A-C4511D3E24A8}" name="MinKM"/>
    <tableColumn id="3" xr3:uid="{23123E8F-77E3-4E19-B387-2817879242BB}" name="MaxKM"/>
    <tableColumn id="4" xr3:uid="{13BB1028-C3A3-40DF-9961-1B48A51572C0}" name="TripRate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A698A0A-F082-4C5F-BADF-A188E057CD76}" name="tblCompPrices" displayName="tblCompPrices" ref="A160:G164" totalsRowShown="0">
  <autoFilter ref="A160:G164" xr:uid="{4A698A0A-F082-4C5F-BADF-A188E057CD76}"/>
  <tableColumns count="7">
    <tableColumn id="1" xr3:uid="{E16AD309-292A-49E0-B18B-2A0548B6AD63}" name="PriceID"/>
    <tableColumn id="2" xr3:uid="{36D2DD06-F82B-4B64-A90B-E178E09B3539}" name="CompetitorID"/>
    <tableColumn id="3" xr3:uid="{72E09F8F-5015-417E-B8DE-0BD44BF64E74}" name="CompetitorName"/>
    <tableColumn id="4" xr3:uid="{D49176C2-C8AE-4872-877C-785D5E9CABA0}" name="ProductID"/>
    <tableColumn id="5" xr3:uid="{D0E08B65-D6B7-4602-A4A7-F93125E1ED59}" name="ExMillRsPerMT"/>
    <tableColumn id="6" xr3:uid="{F04FF275-B483-4A51-B0D9-CC3D141609DC}" name="PriceDate" dataDxfId="0"/>
    <tableColumn id="7" xr3:uid="{3106FDE6-7B20-4650-9C93-C74C2911B74D}" name="Notes"/>
  </tableColumns>
  <tableStyleInfo name="TableStyleMedium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blSettings" displayName="tblSettings" ref="A3:G33" totalsRowShown="0">
  <autoFilter ref="A3:G33" xr:uid="{00000000-0009-0000-0100-000009000000}"/>
  <tableColumns count="7">
    <tableColumn id="1" xr3:uid="{00000000-0010-0000-0800-000001000000}" name="SettingKey"/>
    <tableColumn id="2" xr3:uid="{00000000-0010-0000-0800-000002000000}" name="SettingValue"/>
    <tableColumn id="3" xr3:uid="{00000000-0010-0000-0800-000003000000}" name="DataType"/>
    <tableColumn id="4" xr3:uid="{00000000-0010-0000-0800-000004000000}" name="Description"/>
    <tableColumn id="5" xr3:uid="{00000000-0010-0000-0800-000005000000}" name="DefaultValue"/>
    <tableColumn id="6" xr3:uid="{00000000-0010-0000-0800-000006000000}" name="Editable"/>
    <tableColumn id="7" xr3:uid="{00000000-0010-0000-0800-000007000000}" name="Category"/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9000000}" name="tblCustomers" displayName="tblCustomers" ref="A3:O5" totalsRowShown="0">
  <autoFilter ref="A3:O5" xr:uid="{00000000-0009-0000-0100-00000A000000}"/>
  <tableColumns count="15">
    <tableColumn id="1" xr3:uid="{00000000-0010-0000-0900-000001000000}" name="CustomerID"/>
    <tableColumn id="2" xr3:uid="{00000000-0010-0000-0900-000002000000}" name="CustomerName"/>
    <tableColumn id="3" xr3:uid="{00000000-0010-0000-0900-000003000000}" name="ContactPerson"/>
    <tableColumn id="4" xr3:uid="{00000000-0010-0000-0900-000004000000}" name="Email"/>
    <tableColumn id="5" xr3:uid="{00000000-0010-0000-0900-000005000000}" name="Phone"/>
    <tableColumn id="6" xr3:uid="{00000000-0010-0000-0900-000006000000}" name="Address"/>
    <tableColumn id="7" xr3:uid="{00000000-0010-0000-0900-000007000000}" name="City"/>
    <tableColumn id="8" xr3:uid="{00000000-0010-0000-0900-000008000000}" name="State"/>
    <tableColumn id="9" xr3:uid="{00000000-0010-0000-0900-000009000000}" name="Country"/>
    <tableColumn id="10" xr3:uid="{00000000-0010-0000-0900-00000A000000}" name="PIN"/>
    <tableColumn id="11" xr3:uid="{00000000-0010-0000-0900-00000B000000}" name="Latitude"/>
    <tableColumn id="12" xr3:uid="{00000000-0010-0000-0900-00000C000000}" name="Longitude"/>
    <tableColumn id="13" xr3:uid="{00000000-0010-0000-0900-00000D000000}" name="Active"/>
    <tableColumn id="14" xr3:uid="{00000000-0010-0000-0900-00000E000000}" name="CreatedDate"/>
    <tableColumn id="15" xr3:uid="{00000000-0010-0000-0900-00000F000000}" name="UpdatedDate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A000000}" name="tblPlants" displayName="tblPlants" ref="A3:M10" totalsRowShown="0">
  <autoFilter ref="A3:M10" xr:uid="{00000000-0009-0000-0100-00000B000000}"/>
  <tableColumns count="13">
    <tableColumn id="1" xr3:uid="{00000000-0010-0000-0A00-000001000000}" name="PlantID"/>
    <tableColumn id="2" xr3:uid="{00000000-0010-0000-0A00-000002000000}" name="PlantName"/>
    <tableColumn id="3" xr3:uid="{00000000-0010-0000-0A00-000003000000}" name="PlantType"/>
    <tableColumn id="4" xr3:uid="{00000000-0010-0000-0A00-000004000000}" name="Company"/>
    <tableColumn id="5" xr3:uid="{00000000-0010-0000-0A00-000005000000}" name="Address"/>
    <tableColumn id="6" xr3:uid="{00000000-0010-0000-0A00-000006000000}" name="City"/>
    <tableColumn id="7" xr3:uid="{00000000-0010-0000-0A00-000007000000}" name="State"/>
    <tableColumn id="8" xr3:uid="{00000000-0010-0000-0A00-000008000000}" name="Country"/>
    <tableColumn id="9" xr3:uid="{00000000-0010-0000-0A00-000009000000}" name="PIN"/>
    <tableColumn id="10" xr3:uid="{00000000-0010-0000-0A00-00000A000000}" name="Latitude"/>
    <tableColumn id="11" xr3:uid="{00000000-0010-0000-0A00-00000B000000}" name="Longitude"/>
    <tableColumn id="12" xr3:uid="{00000000-0010-0000-0A00-00000C000000}" name="Active"/>
    <tableColumn id="13" xr3:uid="{00000000-0010-0000-0A00-00000D000000}" name="Notes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19465E9C-7B72-4839-8EBD-876C1D254B4C}" name="tblPlantProducts" displayName="tblPlantProducts" ref="A14:E20" totalsRowShown="0">
  <autoFilter ref="A14:E20" xr:uid="{19465E9C-7B72-4839-8EBD-876C1D254B4C}"/>
  <tableColumns count="5">
    <tableColumn id="1" xr3:uid="{FB107B55-AEE1-48D1-801F-17DD3348FCD4}" name="PlantProductID"/>
    <tableColumn id="2" xr3:uid="{5DBE70C2-42A3-46AE-A37E-4EBFE350FA3B}" name="PlantID"/>
    <tableColumn id="3" xr3:uid="{FD04D3DE-BA04-46FB-A95B-6CD022614DBA}" name="ProductID"/>
    <tableColumn id="4" xr3:uid="{9BAE2B3A-A9DC-450C-B914-1D94CAB66CA3}" name="Family"/>
    <tableColumn id="5" xr3:uid="{929C4B79-2B01-484D-ACE1-79B6B579DCEB}" name="Active"/>
  </tableColumns>
  <tableStyleInfo name="TableStyleMedium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B000000}" name="tblDistanceCache" displayName="tblDistanceCache" ref="A3:L11" totalsRowShown="0">
  <autoFilter ref="A3:L11" xr:uid="{00000000-0009-0000-0100-00000C000000}"/>
  <tableColumns count="12">
    <tableColumn id="1" xr3:uid="{00000000-0010-0000-0B00-000001000000}" name="CacheKey"/>
    <tableColumn id="2" xr3:uid="{00000000-0010-0000-0B00-000002000000}" name="Profile"/>
    <tableColumn id="3" xr3:uid="{00000000-0010-0000-0B00-000003000000}" name="PlantID"/>
    <tableColumn id="4" xr3:uid="{00000000-0010-0000-0B00-000004000000}" name="CustomerPIN"/>
    <tableColumn id="5" xr3:uid="{00000000-0010-0000-0B00-000005000000}" name="CustomerLatitude"/>
    <tableColumn id="6" xr3:uid="{00000000-0010-0000-0B00-000006000000}" name="CustomerLongitude"/>
    <tableColumn id="7" xr3:uid="{00000000-0010-0000-0B00-000007000000}" name="DistanceKM"/>
    <tableColumn id="8" xr3:uid="{00000000-0010-0000-0B00-000008000000}" name="DurationMinutes"/>
    <tableColumn id="9" xr3:uid="{00000000-0010-0000-0B00-000009000000}" name="Source"/>
    <tableColumn id="10" xr3:uid="{00000000-0010-0000-0B00-00000A000000}" name="CalculatedDate"/>
    <tableColumn id="11" xr3:uid="{00000000-0010-0000-0B00-00000B000000}" name="ValidUntil"/>
    <tableColumn id="12" xr3:uid="{00000000-0010-0000-0B00-00000C000000}" name="Status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C000000}" name="tblQuoteLog" displayName="tblQuoteLog" ref="A3:J25" totalsRowShown="0">
  <autoFilter ref="A3:J25" xr:uid="{00000000-0009-0000-0100-00000D000000}"/>
  <tableColumns count="10">
    <tableColumn id="1" xr3:uid="{00000000-0010-0000-0C00-000001000000}" name="LogID"/>
    <tableColumn id="2" xr3:uid="{00000000-0010-0000-0C00-000002000000}" name="QuoteID"/>
    <tableColumn id="3" xr3:uid="{00000000-0010-0000-0C00-000003000000}" name="Timestamp"/>
    <tableColumn id="4" xr3:uid="{00000000-0010-0000-0C00-000004000000}" name="User"/>
    <tableColumn id="5" xr3:uid="{00000000-0010-0000-0C00-000005000000}" name="Action"/>
    <tableColumn id="6" xr3:uid="{00000000-0010-0000-0C00-000006000000}" name="OldValue"/>
    <tableColumn id="7" xr3:uid="{00000000-0010-0000-0C00-000007000000}" name="NewValue"/>
    <tableColumn id="8" xr3:uid="{00000000-0010-0000-0C00-000008000000}" name="SheetName"/>
    <tableColumn id="9" xr3:uid="{00000000-0010-0000-0C00-000009000000}" name="Status"/>
    <tableColumn id="10" xr3:uid="{00000000-0010-0000-0C00-00000A000000}" name="Not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525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2A9FA09C-1ACB-4245-BE6C-1720F9184C04}">
  <we:reference id="WA200005271" version="3.0.0.4" store="Omex" storeType="OMEX"/>
  <we:alternateReferences>
    <we:reference id="WA200005271" version="3.0.0.4" store="WA20000527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  <we:customFunctionIds>_xldudf_AI_WEB</we:customFunctionIds>
      </we:customFunctionIdList>
    </a:ext>
  </we:extLst>
</we:webextension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9.xml"/><Relationship Id="rId3" Type="http://schemas.openxmlformats.org/officeDocument/2006/relationships/table" Target="../tables/table4.xml"/><Relationship Id="rId7" Type="http://schemas.openxmlformats.org/officeDocument/2006/relationships/table" Target="../tables/table8.xml"/><Relationship Id="rId2" Type="http://schemas.openxmlformats.org/officeDocument/2006/relationships/table" Target="../tables/table3.xml"/><Relationship Id="rId1" Type="http://schemas.openxmlformats.org/officeDocument/2006/relationships/table" Target="../tables/table2.xml"/><Relationship Id="rId6" Type="http://schemas.openxmlformats.org/officeDocument/2006/relationships/table" Target="../tables/table7.xml"/><Relationship Id="rId5" Type="http://schemas.openxmlformats.org/officeDocument/2006/relationships/table" Target="../tables/table6.xml"/><Relationship Id="rId10" Type="http://schemas.openxmlformats.org/officeDocument/2006/relationships/table" Target="../tables/table11.xml"/><Relationship Id="rId4" Type="http://schemas.openxmlformats.org/officeDocument/2006/relationships/table" Target="../tables/table5.xml"/><Relationship Id="rId9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5.xml"/><Relationship Id="rId1" Type="http://schemas.openxmlformats.org/officeDocument/2006/relationships/table" Target="../tables/table1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19BE90-012C-429B-A7F2-1D81518C799A}">
  <sheetPr codeName="Sheet12">
    <tabColor rgb="FFE3B4C5"/>
  </sheetPr>
  <dimension ref="A1:H19"/>
  <sheetViews>
    <sheetView workbookViewId="0"/>
  </sheetViews>
  <sheetFormatPr defaultRowHeight="14.5" x14ac:dyDescent="0.35"/>
  <sheetData>
    <row r="1" spans="1:8" ht="18.5" x14ac:dyDescent="0.45">
      <c r="A1" s="13" t="s">
        <v>435</v>
      </c>
    </row>
    <row r="3" spans="1:8" x14ac:dyDescent="0.35">
      <c r="A3" s="15" t="s">
        <v>443</v>
      </c>
      <c r="B3" s="15" t="s">
        <v>444</v>
      </c>
      <c r="C3" s="15" t="s">
        <v>445</v>
      </c>
      <c r="D3" s="15" t="s">
        <v>446</v>
      </c>
      <c r="E3" s="15" t="s">
        <v>447</v>
      </c>
      <c r="F3" s="15" t="s">
        <v>448</v>
      </c>
    </row>
    <row r="4" spans="1:8" x14ac:dyDescent="0.35">
      <c r="A4" t="s">
        <v>115</v>
      </c>
      <c r="B4" t="s">
        <v>342</v>
      </c>
      <c r="C4">
        <v>782</v>
      </c>
      <c r="D4">
        <v>153</v>
      </c>
      <c r="E4" s="16">
        <v>7483</v>
      </c>
      <c r="F4" s="16">
        <v>88053</v>
      </c>
    </row>
    <row r="5" spans="1:8" x14ac:dyDescent="0.35">
      <c r="A5" t="s">
        <v>120</v>
      </c>
      <c r="B5" t="s">
        <v>347</v>
      </c>
      <c r="C5">
        <v>1821</v>
      </c>
      <c r="D5">
        <v>153</v>
      </c>
      <c r="E5" s="16">
        <v>17292</v>
      </c>
      <c r="F5" s="16">
        <v>97862</v>
      </c>
    </row>
    <row r="12" spans="1:8" ht="15.5" x14ac:dyDescent="0.35">
      <c r="A12" s="18" t="s">
        <v>495</v>
      </c>
    </row>
    <row r="13" spans="1:8" x14ac:dyDescent="0.35">
      <c r="A13" s="19" t="s">
        <v>496</v>
      </c>
      <c r="B13" s="19" t="s">
        <v>497</v>
      </c>
      <c r="C13" s="19" t="s">
        <v>498</v>
      </c>
      <c r="D13" s="19" t="s">
        <v>447</v>
      </c>
      <c r="E13" s="19" t="s">
        <v>499</v>
      </c>
      <c r="F13" s="19" t="s">
        <v>500</v>
      </c>
      <c r="G13" s="19" t="s">
        <v>501</v>
      </c>
      <c r="H13" s="19" t="s">
        <v>502</v>
      </c>
    </row>
    <row r="14" spans="1:8" x14ac:dyDescent="0.35">
      <c r="A14" s="20" t="s">
        <v>455</v>
      </c>
      <c r="B14" s="20">
        <v>403</v>
      </c>
      <c r="C14" s="20">
        <v>79500</v>
      </c>
      <c r="D14" s="20">
        <v>4199</v>
      </c>
      <c r="E14" s="20">
        <v>83699</v>
      </c>
      <c r="F14" s="20">
        <v>-5018</v>
      </c>
      <c r="G14" s="20" t="s">
        <v>503</v>
      </c>
      <c r="H14" s="20" t="s">
        <v>504</v>
      </c>
    </row>
    <row r="15" spans="1:8" x14ac:dyDescent="0.35">
      <c r="A15" t="s">
        <v>462</v>
      </c>
      <c r="B15">
        <v>1019</v>
      </c>
      <c r="C15">
        <v>81000</v>
      </c>
      <c r="D15">
        <v>10617</v>
      </c>
      <c r="E15">
        <v>91617</v>
      </c>
      <c r="F15">
        <v>2900</v>
      </c>
      <c r="G15" t="s">
        <v>505</v>
      </c>
    </row>
    <row r="16" spans="1:8" x14ac:dyDescent="0.35">
      <c r="A16" t="s">
        <v>467</v>
      </c>
      <c r="B16">
        <v>1973</v>
      </c>
      <c r="C16" t="s">
        <v>506</v>
      </c>
      <c r="D16">
        <v>0</v>
      </c>
      <c r="E16">
        <v>0</v>
      </c>
      <c r="F16" t="s">
        <v>506</v>
      </c>
      <c r="G16" t="s">
        <v>507</v>
      </c>
    </row>
    <row r="17" spans="1:7" x14ac:dyDescent="0.35">
      <c r="A17" t="s">
        <v>473</v>
      </c>
      <c r="B17">
        <v>1833</v>
      </c>
      <c r="C17">
        <v>82500</v>
      </c>
      <c r="D17">
        <v>19097</v>
      </c>
      <c r="E17">
        <v>101597</v>
      </c>
      <c r="F17">
        <v>12880</v>
      </c>
      <c r="G17" t="s">
        <v>505</v>
      </c>
    </row>
    <row r="19" spans="1:7" x14ac:dyDescent="0.35">
      <c r="A19" s="17" t="s">
        <v>508</v>
      </c>
      <c r="B19" s="17">
        <v>88717</v>
      </c>
      <c r="C19" s="17"/>
      <c r="D19" s="17" t="s">
        <v>509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5"/>
  <sheetViews>
    <sheetView showGridLines="0" tabSelected="1" workbookViewId="0">
      <pane ySplit="8" topLeftCell="A15" activePane="bottomLeft" state="frozen"/>
      <selection pane="bottomLeft" activeCell="C19" sqref="C19"/>
    </sheetView>
  </sheetViews>
  <sheetFormatPr defaultRowHeight="14.5" x14ac:dyDescent="0.35"/>
  <cols>
    <col min="1" max="1" width="28.7265625" customWidth="1"/>
    <col min="2" max="2" width="54.7265625" customWidth="1"/>
  </cols>
  <sheetData>
    <row r="1" spans="1:2" ht="21" x14ac:dyDescent="0.5">
      <c r="A1" s="1" t="s">
        <v>0</v>
      </c>
    </row>
    <row r="2" spans="1:2" x14ac:dyDescent="0.35">
      <c r="A2" t="s">
        <v>1</v>
      </c>
    </row>
    <row r="3" spans="1:2" x14ac:dyDescent="0.35">
      <c r="A3" t="s">
        <v>2</v>
      </c>
    </row>
    <row r="5" spans="1:2" x14ac:dyDescent="0.35">
      <c r="A5" t="s">
        <v>3</v>
      </c>
    </row>
    <row r="6" spans="1:2" x14ac:dyDescent="0.35">
      <c r="A6" t="s">
        <v>4</v>
      </c>
    </row>
    <row r="8" spans="1:2" x14ac:dyDescent="0.35">
      <c r="A8" s="2" t="s">
        <v>5</v>
      </c>
    </row>
    <row r="9" spans="1:2" x14ac:dyDescent="0.35">
      <c r="A9" s="3" t="s">
        <v>6</v>
      </c>
      <c r="B9" s="4" t="s">
        <v>7</v>
      </c>
    </row>
    <row r="10" spans="1:2" x14ac:dyDescent="0.35">
      <c r="A10" s="3" t="s">
        <v>8</v>
      </c>
      <c r="B10" s="4" t="s">
        <v>9</v>
      </c>
    </row>
    <row r="11" spans="1:2" x14ac:dyDescent="0.35">
      <c r="A11" s="3" t="s">
        <v>10</v>
      </c>
      <c r="B11" s="4" t="s">
        <v>374</v>
      </c>
    </row>
    <row r="12" spans="1:2" x14ac:dyDescent="0.35">
      <c r="A12" s="3" t="s">
        <v>11</v>
      </c>
      <c r="B12" s="4" t="s">
        <v>375</v>
      </c>
    </row>
    <row r="13" spans="1:2" x14ac:dyDescent="0.35">
      <c r="A13" s="3" t="s">
        <v>12</v>
      </c>
      <c r="B13" s="4" t="s">
        <v>13</v>
      </c>
    </row>
    <row r="14" spans="1:2" x14ac:dyDescent="0.35">
      <c r="A14" s="3" t="s">
        <v>14</v>
      </c>
      <c r="B14" s="4" t="s">
        <v>15</v>
      </c>
    </row>
    <row r="15" spans="1:2" x14ac:dyDescent="0.35">
      <c r="A15" s="3" t="s">
        <v>16</v>
      </c>
      <c r="B15" s="4" t="s">
        <v>17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7" r:id="rId3" name="Button 3">
              <controlPr defaultSize="0" print="0" autoFill="0" autoPict="0" macro="[0]!EnterSystem">
                <anchor moveWithCells="1" sizeWithCells="1">
                  <from>
                    <xdr:col>1</xdr:col>
                    <xdr:colOff>1403350</xdr:colOff>
                    <xdr:row>18</xdr:row>
                    <xdr:rowOff>0</xdr:rowOff>
                  </from>
                  <to>
                    <xdr:col>1</xdr:col>
                    <xdr:colOff>3308350</xdr:colOff>
                    <xdr:row>21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E31"/>
  <sheetViews>
    <sheetView showGridLines="0" topLeftCell="A16" workbookViewId="0">
      <selection activeCell="F30" sqref="F30"/>
    </sheetView>
  </sheetViews>
  <sheetFormatPr defaultRowHeight="14.5" x14ac:dyDescent="0.35"/>
  <cols>
    <col min="1" max="1" width="30.7265625" customWidth="1"/>
    <col min="2" max="2" width="34.7265625" customWidth="1"/>
    <col min="5" max="5" width="12.6328125" bestFit="1" customWidth="1"/>
  </cols>
  <sheetData>
    <row r="1" spans="1:5" x14ac:dyDescent="0.35">
      <c r="A1" s="5" t="s">
        <v>18</v>
      </c>
      <c r="B1" s="10"/>
    </row>
    <row r="2" spans="1:5" x14ac:dyDescent="0.35">
      <c r="A2" s="6"/>
      <c r="B2" s="6"/>
    </row>
    <row r="3" spans="1:5" x14ac:dyDescent="0.35">
      <c r="A3" s="7" t="s">
        <v>19</v>
      </c>
      <c r="B3" s="6"/>
      <c r="D3" s="40" t="s">
        <v>379</v>
      </c>
      <c r="E3" s="41"/>
    </row>
    <row r="4" spans="1:5" x14ac:dyDescent="0.35">
      <c r="A4" s="8" t="s">
        <v>20</v>
      </c>
      <c r="B4" s="9" t="s">
        <v>640</v>
      </c>
      <c r="D4" s="42" t="s">
        <v>380</v>
      </c>
      <c r="E4" s="43">
        <v>7250</v>
      </c>
    </row>
    <row r="5" spans="1:5" x14ac:dyDescent="0.35">
      <c r="A5" s="8" t="s">
        <v>21</v>
      </c>
      <c r="B5" s="11">
        <v>46307</v>
      </c>
      <c r="D5" s="42" t="s">
        <v>381</v>
      </c>
      <c r="E5" s="44">
        <v>2031.03581121</v>
      </c>
    </row>
    <row r="6" spans="1:5" x14ac:dyDescent="0.35">
      <c r="A6" s="8" t="s">
        <v>22</v>
      </c>
      <c r="B6" s="9"/>
      <c r="D6" s="42" t="s">
        <v>382</v>
      </c>
      <c r="E6" s="45">
        <v>606</v>
      </c>
    </row>
    <row r="7" spans="1:5" x14ac:dyDescent="0.35">
      <c r="A7" s="8" t="s">
        <v>23</v>
      </c>
      <c r="B7" s="9"/>
      <c r="D7" s="42" t="s">
        <v>383</v>
      </c>
      <c r="E7" s="45">
        <v>153</v>
      </c>
    </row>
    <row r="8" spans="1:5" x14ac:dyDescent="0.35">
      <c r="A8" s="8" t="s">
        <v>24</v>
      </c>
      <c r="B8" s="9" t="s">
        <v>332</v>
      </c>
      <c r="D8" s="42" t="s">
        <v>384</v>
      </c>
      <c r="E8" s="46">
        <v>178801050</v>
      </c>
    </row>
    <row r="9" spans="1:5" x14ac:dyDescent="0.35">
      <c r="A9" s="8" t="s">
        <v>25</v>
      </c>
      <c r="B9" s="9" t="s">
        <v>333</v>
      </c>
      <c r="D9" s="42" t="s">
        <v>385</v>
      </c>
      <c r="E9" s="43">
        <v>32184189</v>
      </c>
    </row>
    <row r="10" spans="1:5" x14ac:dyDescent="0.35">
      <c r="A10" s="8" t="s">
        <v>26</v>
      </c>
      <c r="B10" s="9"/>
      <c r="D10" s="47" t="s">
        <v>386</v>
      </c>
      <c r="E10" s="48">
        <v>210985239</v>
      </c>
    </row>
    <row r="11" spans="1:5" x14ac:dyDescent="0.35">
      <c r="A11" s="8" t="s">
        <v>27</v>
      </c>
      <c r="B11" s="9" t="s">
        <v>334</v>
      </c>
      <c r="D11" s="42" t="s">
        <v>387</v>
      </c>
      <c r="E11" s="42" t="s">
        <v>397</v>
      </c>
    </row>
    <row r="12" spans="1:5" x14ac:dyDescent="0.35">
      <c r="A12" s="8" t="s">
        <v>28</v>
      </c>
      <c r="B12" s="9"/>
      <c r="D12" s="42" t="s">
        <v>388</v>
      </c>
      <c r="E12" s="42" t="s">
        <v>389</v>
      </c>
    </row>
    <row r="13" spans="1:5" x14ac:dyDescent="0.35">
      <c r="A13" s="8" t="s">
        <v>29</v>
      </c>
      <c r="B13" s="9"/>
      <c r="D13" s="42" t="s">
        <v>390</v>
      </c>
      <c r="E13" s="42" t="s">
        <v>347</v>
      </c>
    </row>
    <row r="14" spans="1:5" x14ac:dyDescent="0.35">
      <c r="A14" s="8" t="s">
        <v>30</v>
      </c>
      <c r="B14" s="9" t="s">
        <v>347</v>
      </c>
      <c r="D14" s="42" t="s">
        <v>391</v>
      </c>
      <c r="E14" s="49">
        <v>46116</v>
      </c>
    </row>
    <row r="15" spans="1:5" x14ac:dyDescent="0.35">
      <c r="A15" s="8" t="s">
        <v>31</v>
      </c>
      <c r="B15" s="9" t="s">
        <v>352</v>
      </c>
    </row>
    <row r="16" spans="1:5" x14ac:dyDescent="0.35">
      <c r="A16" s="8" t="s">
        <v>32</v>
      </c>
      <c r="B16" s="9">
        <v>5</v>
      </c>
    </row>
    <row r="17" spans="1:2" x14ac:dyDescent="0.35">
      <c r="A17" s="8" t="s">
        <v>33</v>
      </c>
      <c r="B17" s="9" t="s">
        <v>59</v>
      </c>
    </row>
    <row r="18" spans="1:2" x14ac:dyDescent="0.35">
      <c r="A18" s="6"/>
      <c r="B18" s="6"/>
    </row>
    <row r="19" spans="1:2" x14ac:dyDescent="0.35">
      <c r="A19" s="6"/>
      <c r="B19" s="6"/>
    </row>
    <row r="20" spans="1:2" x14ac:dyDescent="0.35">
      <c r="A20" s="7" t="s">
        <v>34</v>
      </c>
      <c r="B20" s="6"/>
    </row>
    <row r="21" spans="1:2" x14ac:dyDescent="0.35">
      <c r="A21" s="8" t="s">
        <v>35</v>
      </c>
      <c r="B21" s="9"/>
    </row>
    <row r="22" spans="1:2" x14ac:dyDescent="0.35">
      <c r="A22" s="8" t="s">
        <v>36</v>
      </c>
      <c r="B22" s="9"/>
    </row>
    <row r="23" spans="1:2" x14ac:dyDescent="0.35">
      <c r="A23" s="8" t="s">
        <v>37</v>
      </c>
      <c r="B23" s="9"/>
    </row>
    <row r="24" spans="1:2" x14ac:dyDescent="0.35">
      <c r="A24" s="8" t="s">
        <v>38</v>
      </c>
      <c r="B24" s="9"/>
    </row>
    <row r="25" spans="1:2" x14ac:dyDescent="0.35">
      <c r="A25" s="8" t="s">
        <v>39</v>
      </c>
      <c r="B25" s="9"/>
    </row>
    <row r="26" spans="1:2" x14ac:dyDescent="0.35">
      <c r="A26" s="8" t="s">
        <v>40</v>
      </c>
      <c r="B26" s="9"/>
    </row>
    <row r="27" spans="1:2" x14ac:dyDescent="0.35">
      <c r="A27" s="8" t="s">
        <v>41</v>
      </c>
      <c r="B27" s="9"/>
    </row>
    <row r="28" spans="1:2" x14ac:dyDescent="0.35">
      <c r="A28" s="8" t="s">
        <v>42</v>
      </c>
      <c r="B28" s="9"/>
    </row>
    <row r="29" spans="1:2" x14ac:dyDescent="0.35">
      <c r="A29" s="8" t="s">
        <v>43</v>
      </c>
      <c r="B29" s="9"/>
    </row>
    <row r="30" spans="1:2" x14ac:dyDescent="0.35">
      <c r="A30" s="8" t="s">
        <v>44</v>
      </c>
      <c r="B30" s="9"/>
    </row>
    <row r="31" spans="1:2" x14ac:dyDescent="0.35">
      <c r="A31" s="8" t="s">
        <v>45</v>
      </c>
      <c r="B31" s="9"/>
    </row>
  </sheetData>
  <mergeCells count="1">
    <mergeCell ref="D3:E3"/>
  </mergeCells>
  <dataValidations count="1">
    <dataValidation type="list" allowBlank="1" showInputMessage="1" showErrorMessage="1" errorTitle="Invalid price basis" error="Select Metres, MT, or Nos." sqref="B17" xr:uid="{9159CB70-E0EC-458B-A9A1-EDC78BBB49B3}">
      <formula1>"Metres,MT,Nos"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EAA454F-2872-42A0-B36A-B86334B7A13B}">
          <x14:formula1>
            <xm:f>CUSTOMERS!$B$4:$B$5</xm:f>
          </x14:formula1>
          <xm:sqref>B8</xm:sqref>
        </x14:dataValidation>
        <x14:dataValidation type="list" allowBlank="1" showInputMessage="1" showErrorMessage="1" xr:uid="{AB1638FC-5618-482D-B9CB-90D5DB1FAD08}">
          <x14:formula1>
            <xm:f>PLANTS!$B$4:$B$6</xm:f>
          </x14:formula1>
          <xm:sqref>B14</xm:sqref>
        </x14:dataValidation>
        <x14:dataValidation type="list" allowBlank="1" showInputMessage="1" showErrorMessage="1" xr:uid="{4075A564-FEAC-411C-8C4F-1C2CCA05568F}">
          <x14:formula1>
            <xm:f>MASTERS!$B$135:$B$138</xm:f>
          </x14:formula1>
          <xm:sqref>B15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3:X7"/>
  <sheetViews>
    <sheetView showGridLines="0" workbookViewId="0">
      <selection activeCell="E6" sqref="E6"/>
    </sheetView>
  </sheetViews>
  <sheetFormatPr defaultRowHeight="14.5" x14ac:dyDescent="0.35"/>
  <cols>
    <col min="1" max="24" width="16.7265625" customWidth="1"/>
  </cols>
  <sheetData>
    <row r="3" spans="1:24" x14ac:dyDescent="0.35">
      <c r="A3" t="s">
        <v>46</v>
      </c>
      <c r="B3" t="s">
        <v>47</v>
      </c>
      <c r="C3" t="s">
        <v>48</v>
      </c>
      <c r="D3" t="s">
        <v>36</v>
      </c>
      <c r="E3" t="s">
        <v>37</v>
      </c>
      <c r="F3" t="s">
        <v>49</v>
      </c>
      <c r="G3" t="s">
        <v>50</v>
      </c>
      <c r="H3" t="s">
        <v>51</v>
      </c>
      <c r="I3" t="s">
        <v>52</v>
      </c>
      <c r="J3" t="s">
        <v>53</v>
      </c>
      <c r="K3" t="s">
        <v>43</v>
      </c>
      <c r="L3" t="s">
        <v>54</v>
      </c>
      <c r="M3" t="s">
        <v>55</v>
      </c>
      <c r="N3" t="s">
        <v>56</v>
      </c>
      <c r="O3" t="s">
        <v>57</v>
      </c>
      <c r="P3" t="s">
        <v>58</v>
      </c>
      <c r="Q3" t="s">
        <v>59</v>
      </c>
      <c r="R3" t="s">
        <v>60</v>
      </c>
      <c r="S3" t="s">
        <v>61</v>
      </c>
      <c r="T3" t="s">
        <v>62</v>
      </c>
      <c r="U3" t="s">
        <v>63</v>
      </c>
      <c r="V3" t="s">
        <v>64</v>
      </c>
      <c r="W3" t="s">
        <v>65</v>
      </c>
      <c r="X3" t="s">
        <v>66</v>
      </c>
    </row>
    <row r="4" spans="1:24" x14ac:dyDescent="0.35">
      <c r="A4" t="s">
        <v>392</v>
      </c>
      <c r="B4" t="s">
        <v>378</v>
      </c>
      <c r="C4" t="s">
        <v>120</v>
      </c>
      <c r="D4" t="s">
        <v>117</v>
      </c>
      <c r="E4" t="s">
        <v>131</v>
      </c>
      <c r="F4">
        <v>1226</v>
      </c>
      <c r="G4">
        <v>8.4</v>
      </c>
      <c r="H4" t="s">
        <v>158</v>
      </c>
      <c r="K4">
        <v>2000</v>
      </c>
      <c r="L4" t="s">
        <v>59</v>
      </c>
      <c r="M4">
        <v>12</v>
      </c>
      <c r="N4">
        <v>1243</v>
      </c>
      <c r="O4">
        <v>1226</v>
      </c>
      <c r="P4">
        <v>255.75553836</v>
      </c>
      <c r="Q4">
        <v>2000</v>
      </c>
      <c r="R4">
        <v>167</v>
      </c>
      <c r="S4">
        <v>511.51107672000001</v>
      </c>
      <c r="T4">
        <v>22689</v>
      </c>
      <c r="U4" t="s">
        <v>59</v>
      </c>
      <c r="V4">
        <v>45378000</v>
      </c>
      <c r="W4" t="s">
        <v>115</v>
      </c>
      <c r="X4" t="s">
        <v>393</v>
      </c>
    </row>
    <row r="5" spans="1:24" x14ac:dyDescent="0.35">
      <c r="A5" t="s">
        <v>394</v>
      </c>
      <c r="B5" t="s">
        <v>378</v>
      </c>
      <c r="C5" t="s">
        <v>120</v>
      </c>
      <c r="D5" t="s">
        <v>117</v>
      </c>
      <c r="E5" t="s">
        <v>131</v>
      </c>
      <c r="F5">
        <v>1300</v>
      </c>
      <c r="G5">
        <v>8.4</v>
      </c>
      <c r="H5" t="s">
        <v>158</v>
      </c>
      <c r="K5">
        <v>350</v>
      </c>
      <c r="L5" t="s">
        <v>59</v>
      </c>
      <c r="M5">
        <v>12</v>
      </c>
      <c r="N5">
        <v>1317</v>
      </c>
      <c r="O5">
        <v>1300</v>
      </c>
      <c r="P5">
        <v>271.08512675999998</v>
      </c>
      <c r="Q5">
        <v>350</v>
      </c>
      <c r="R5">
        <v>30</v>
      </c>
      <c r="S5">
        <v>94.879794365999999</v>
      </c>
      <c r="T5">
        <v>24109</v>
      </c>
      <c r="U5" t="s">
        <v>59</v>
      </c>
      <c r="V5">
        <v>8438150</v>
      </c>
      <c r="W5" t="s">
        <v>115</v>
      </c>
      <c r="X5" t="s">
        <v>393</v>
      </c>
    </row>
    <row r="6" spans="1:24" x14ac:dyDescent="0.35">
      <c r="A6" t="s">
        <v>395</v>
      </c>
      <c r="B6" t="s">
        <v>378</v>
      </c>
      <c r="C6" t="s">
        <v>120</v>
      </c>
      <c r="D6" t="s">
        <v>117</v>
      </c>
      <c r="E6" t="s">
        <v>131</v>
      </c>
      <c r="F6">
        <v>1350</v>
      </c>
      <c r="G6">
        <v>8.4</v>
      </c>
      <c r="H6" t="s">
        <v>158</v>
      </c>
      <c r="K6">
        <v>500</v>
      </c>
      <c r="L6" t="s">
        <v>59</v>
      </c>
      <c r="M6">
        <v>12</v>
      </c>
      <c r="N6">
        <v>1367</v>
      </c>
      <c r="O6">
        <v>1350</v>
      </c>
      <c r="P6">
        <v>281.44295676000002</v>
      </c>
      <c r="Q6">
        <v>500</v>
      </c>
      <c r="R6">
        <v>42</v>
      </c>
      <c r="S6">
        <v>140.72147838000001</v>
      </c>
      <c r="T6">
        <v>24857</v>
      </c>
      <c r="U6" t="s">
        <v>59</v>
      </c>
      <c r="V6">
        <v>12428500</v>
      </c>
      <c r="W6" t="s">
        <v>115</v>
      </c>
      <c r="X6" t="s">
        <v>393</v>
      </c>
    </row>
    <row r="7" spans="1:24" x14ac:dyDescent="0.35">
      <c r="A7" t="s">
        <v>396</v>
      </c>
      <c r="B7" t="s">
        <v>378</v>
      </c>
      <c r="C7" t="s">
        <v>120</v>
      </c>
      <c r="D7" t="s">
        <v>117</v>
      </c>
      <c r="E7" t="s">
        <v>131</v>
      </c>
      <c r="F7">
        <v>1400</v>
      </c>
      <c r="G7">
        <v>8.4</v>
      </c>
      <c r="H7" t="s">
        <v>158</v>
      </c>
      <c r="K7">
        <v>4400</v>
      </c>
      <c r="L7" t="s">
        <v>59</v>
      </c>
      <c r="M7">
        <v>12</v>
      </c>
      <c r="N7">
        <v>1417</v>
      </c>
      <c r="O7">
        <v>1400</v>
      </c>
      <c r="P7">
        <v>291.80078675999999</v>
      </c>
      <c r="Q7">
        <v>4400</v>
      </c>
      <c r="R7">
        <v>367</v>
      </c>
      <c r="S7">
        <v>1283.923461744</v>
      </c>
      <c r="T7">
        <v>25581</v>
      </c>
      <c r="U7" t="s">
        <v>59</v>
      </c>
      <c r="V7">
        <v>112556400</v>
      </c>
      <c r="W7" t="s">
        <v>115</v>
      </c>
      <c r="X7" t="s">
        <v>393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49"/>
  <sheetViews>
    <sheetView showGridLines="0" workbookViewId="0"/>
  </sheetViews>
  <sheetFormatPr defaultRowHeight="14.5" x14ac:dyDescent="0.35"/>
  <cols>
    <col min="1" max="1" width="32.6328125" customWidth="1"/>
    <col min="2" max="2" width="10.6328125" customWidth="1"/>
    <col min="3" max="7" width="16.6328125" customWidth="1"/>
  </cols>
  <sheetData>
    <row r="1" spans="1:7" x14ac:dyDescent="0.35">
      <c r="A1" t="s">
        <v>511</v>
      </c>
      <c r="B1" t="s">
        <v>512</v>
      </c>
    </row>
    <row r="2" spans="1:7" x14ac:dyDescent="0.35">
      <c r="A2" t="s">
        <v>513</v>
      </c>
      <c r="B2" t="s">
        <v>332</v>
      </c>
    </row>
    <row r="5" spans="1:7" x14ac:dyDescent="0.35">
      <c r="A5" t="s">
        <v>514</v>
      </c>
      <c r="B5" t="s">
        <v>515</v>
      </c>
    </row>
    <row r="6" spans="1:7" x14ac:dyDescent="0.35">
      <c r="A6" t="s">
        <v>516</v>
      </c>
      <c r="B6" t="s">
        <v>640</v>
      </c>
    </row>
    <row r="7" spans="1:7" x14ac:dyDescent="0.35">
      <c r="A7" t="s">
        <v>517</v>
      </c>
      <c r="B7" t="s">
        <v>334</v>
      </c>
    </row>
    <row r="12" spans="1:7" x14ac:dyDescent="0.35">
      <c r="A12" s="24" t="s">
        <v>518</v>
      </c>
      <c r="B12" s="24"/>
      <c r="C12" s="24">
        <v>1</v>
      </c>
      <c r="D12" s="24">
        <v>2</v>
      </c>
      <c r="E12" s="24">
        <v>3</v>
      </c>
      <c r="F12" s="24">
        <v>4</v>
      </c>
      <c r="G12" s="24" t="s">
        <v>519</v>
      </c>
    </row>
    <row r="13" spans="1:7" x14ac:dyDescent="0.35">
      <c r="A13" s="25" t="s">
        <v>520</v>
      </c>
      <c r="B13" s="25"/>
      <c r="C13" s="25">
        <v>49</v>
      </c>
      <c r="D13" s="25">
        <v>52</v>
      </c>
      <c r="E13" s="25">
        <v>54</v>
      </c>
      <c r="F13" s="25">
        <v>56</v>
      </c>
      <c r="G13" s="25"/>
    </row>
    <row r="14" spans="1:7" x14ac:dyDescent="0.35">
      <c r="A14" s="26" t="s">
        <v>521</v>
      </c>
      <c r="B14" s="26"/>
      <c r="C14" s="26">
        <v>1226</v>
      </c>
      <c r="D14" s="26">
        <v>1300</v>
      </c>
      <c r="E14" s="26">
        <v>1350</v>
      </c>
      <c r="F14" s="26">
        <v>1400</v>
      </c>
      <c r="G14" s="26"/>
    </row>
    <row r="15" spans="1:7" x14ac:dyDescent="0.35">
      <c r="A15" s="26" t="s">
        <v>522</v>
      </c>
      <c r="B15" s="26"/>
      <c r="C15" s="26">
        <v>1243</v>
      </c>
      <c r="D15" s="26">
        <v>1317</v>
      </c>
      <c r="E15" s="26">
        <v>1367</v>
      </c>
      <c r="F15" s="26">
        <v>1417</v>
      </c>
      <c r="G15" s="26"/>
    </row>
    <row r="16" spans="1:7" x14ac:dyDescent="0.35">
      <c r="A16" s="26" t="s">
        <v>523</v>
      </c>
      <c r="B16" s="26"/>
      <c r="C16" s="26">
        <v>8.4</v>
      </c>
      <c r="D16" s="26">
        <v>8.4</v>
      </c>
      <c r="E16" s="26">
        <v>8.4</v>
      </c>
      <c r="F16" s="26">
        <v>8.4</v>
      </c>
      <c r="G16" s="26"/>
    </row>
    <row r="17" spans="1:7" x14ac:dyDescent="0.35">
      <c r="A17" s="27" t="s">
        <v>524</v>
      </c>
      <c r="B17" s="27"/>
      <c r="C17" s="28">
        <v>0.25575553835999998</v>
      </c>
      <c r="D17" s="28">
        <v>0.27108512675999996</v>
      </c>
      <c r="E17" s="28">
        <v>0.28144295676000003</v>
      </c>
      <c r="F17" s="28">
        <v>0.29180078675999999</v>
      </c>
      <c r="G17" s="27"/>
    </row>
    <row r="18" spans="1:7" x14ac:dyDescent="0.35">
      <c r="A18" s="29" t="s">
        <v>525</v>
      </c>
      <c r="B18" s="29"/>
      <c r="C18" s="29">
        <v>2000</v>
      </c>
      <c r="D18" s="29">
        <v>350</v>
      </c>
      <c r="E18" s="29">
        <v>500</v>
      </c>
      <c r="F18" s="29">
        <v>4400</v>
      </c>
      <c r="G18" s="29">
        <v>7250</v>
      </c>
    </row>
    <row r="19" spans="1:7" x14ac:dyDescent="0.35">
      <c r="A19" s="29" t="s">
        <v>526</v>
      </c>
      <c r="B19" s="29"/>
      <c r="C19" s="29">
        <v>511.51100000000002</v>
      </c>
      <c r="D19" s="29">
        <v>94.88</v>
      </c>
      <c r="E19" s="29">
        <v>140.721</v>
      </c>
      <c r="F19" s="29">
        <v>1283.923</v>
      </c>
      <c r="G19" s="29">
        <v>2031.0360000000001</v>
      </c>
    </row>
    <row r="20" spans="1:7" x14ac:dyDescent="0.35">
      <c r="A20" s="30" t="s">
        <v>527</v>
      </c>
      <c r="B20" s="30"/>
      <c r="C20" s="30">
        <v>3.9049999999999998</v>
      </c>
      <c r="D20" s="30">
        <v>4.1375000000000002</v>
      </c>
      <c r="E20" s="30">
        <v>4.2946</v>
      </c>
      <c r="F20" s="30">
        <v>4.4516</v>
      </c>
      <c r="G20" s="30"/>
    </row>
    <row r="21" spans="1:7" x14ac:dyDescent="0.35">
      <c r="A21" s="30" t="s">
        <v>528</v>
      </c>
      <c r="B21" s="30"/>
      <c r="C21" s="30">
        <v>3.069</v>
      </c>
      <c r="D21" s="30">
        <v>3.2530000000000001</v>
      </c>
      <c r="E21" s="30">
        <v>3.3769999999999998</v>
      </c>
      <c r="F21" s="30">
        <v>3.5019999999999998</v>
      </c>
      <c r="G21" s="30"/>
    </row>
    <row r="22" spans="1:7" x14ac:dyDescent="0.35">
      <c r="A22" s="29" t="s">
        <v>529</v>
      </c>
      <c r="B22" s="29"/>
      <c r="C22" s="29">
        <v>167</v>
      </c>
      <c r="D22" s="29">
        <v>30</v>
      </c>
      <c r="E22" s="29">
        <v>42</v>
      </c>
      <c r="F22" s="29">
        <v>367</v>
      </c>
      <c r="G22" s="29">
        <v>606</v>
      </c>
    </row>
    <row r="23" spans="1:7" x14ac:dyDescent="0.35">
      <c r="A23" s="37"/>
      <c r="B23" s="37"/>
      <c r="C23" s="37"/>
      <c r="D23" s="37"/>
      <c r="E23" s="37"/>
      <c r="F23" s="37"/>
      <c r="G23" s="37"/>
    </row>
    <row r="24" spans="1:7" x14ac:dyDescent="0.35">
      <c r="A24" s="37"/>
      <c r="B24" s="37"/>
      <c r="C24" s="37"/>
      <c r="D24" s="37"/>
      <c r="E24" s="37"/>
      <c r="F24" s="37"/>
      <c r="G24" s="37"/>
    </row>
    <row r="25" spans="1:7" x14ac:dyDescent="0.35">
      <c r="A25" s="30" t="s">
        <v>530</v>
      </c>
      <c r="B25" s="30"/>
      <c r="C25" s="30">
        <v>61000</v>
      </c>
      <c r="D25" s="30">
        <v>61000</v>
      </c>
      <c r="E25" s="30">
        <v>61000</v>
      </c>
      <c r="F25" s="30">
        <v>61000</v>
      </c>
      <c r="G25" s="30">
        <v>61000</v>
      </c>
    </row>
    <row r="26" spans="1:7" x14ac:dyDescent="0.35">
      <c r="A26" s="37"/>
      <c r="B26" s="37"/>
      <c r="C26" s="37"/>
      <c r="D26" s="37"/>
      <c r="E26" s="37"/>
      <c r="F26" s="37"/>
      <c r="G26" s="37"/>
    </row>
    <row r="27" spans="1:7" x14ac:dyDescent="0.35">
      <c r="A27" s="30" t="s">
        <v>531</v>
      </c>
      <c r="B27" s="30"/>
      <c r="C27" s="30">
        <v>61000</v>
      </c>
      <c r="D27" s="30">
        <v>61000</v>
      </c>
      <c r="E27" s="30">
        <v>61000</v>
      </c>
      <c r="F27" s="30">
        <v>61000</v>
      </c>
      <c r="G27" s="30">
        <v>61000</v>
      </c>
    </row>
    <row r="28" spans="1:7" x14ac:dyDescent="0.35">
      <c r="A28" s="32" t="s">
        <v>532</v>
      </c>
      <c r="B28" s="32"/>
      <c r="C28" s="32">
        <v>1220</v>
      </c>
      <c r="D28" s="32">
        <v>1220</v>
      </c>
      <c r="E28" s="32">
        <v>1220</v>
      </c>
      <c r="F28" s="32">
        <v>1220</v>
      </c>
      <c r="G28" s="32">
        <v>1220</v>
      </c>
    </row>
    <row r="29" spans="1:7" x14ac:dyDescent="0.35">
      <c r="A29" s="32" t="s">
        <v>533</v>
      </c>
      <c r="B29" s="32"/>
      <c r="C29" s="32">
        <v>5000</v>
      </c>
      <c r="D29" s="32">
        <v>5000</v>
      </c>
      <c r="E29" s="32">
        <v>5000</v>
      </c>
      <c r="F29" s="32">
        <v>5000</v>
      </c>
      <c r="G29" s="32">
        <v>5000</v>
      </c>
    </row>
    <row r="30" spans="1:7" x14ac:dyDescent="0.35">
      <c r="A30" s="37"/>
      <c r="B30" s="37"/>
      <c r="C30" s="37"/>
      <c r="D30" s="37"/>
      <c r="E30" s="37"/>
      <c r="F30" s="37"/>
      <c r="G30" s="37"/>
    </row>
    <row r="31" spans="1:7" x14ac:dyDescent="0.35">
      <c r="A31" s="37"/>
      <c r="B31" s="37"/>
      <c r="C31" s="37"/>
      <c r="D31" s="37"/>
      <c r="E31" s="37"/>
      <c r="F31" s="37"/>
      <c r="G31" s="37"/>
    </row>
    <row r="32" spans="1:7" x14ac:dyDescent="0.35">
      <c r="A32" s="33" t="s">
        <v>534</v>
      </c>
      <c r="B32" s="33">
        <v>1.4999999999999999E-2</v>
      </c>
      <c r="C32" s="33">
        <v>1570</v>
      </c>
      <c r="D32" s="33">
        <v>1574</v>
      </c>
      <c r="E32" s="33">
        <v>1563</v>
      </c>
      <c r="F32" s="33">
        <v>1552</v>
      </c>
      <c r="G32" s="33">
        <v>1320.52</v>
      </c>
    </row>
    <row r="33" spans="1:7" x14ac:dyDescent="0.35">
      <c r="A33" s="30" t="s">
        <v>535</v>
      </c>
      <c r="B33" s="30"/>
      <c r="C33" s="30">
        <v>68790</v>
      </c>
      <c r="D33" s="30">
        <v>68794</v>
      </c>
      <c r="E33" s="30">
        <v>68783</v>
      </c>
      <c r="F33" s="30">
        <v>68772</v>
      </c>
      <c r="G33" s="30"/>
    </row>
    <row r="34" spans="1:7" x14ac:dyDescent="0.35">
      <c r="A34" s="34" t="s">
        <v>536</v>
      </c>
      <c r="B34" s="34">
        <v>500</v>
      </c>
      <c r="C34" s="34">
        <v>7630.37</v>
      </c>
      <c r="D34" s="34">
        <v>7627.46</v>
      </c>
      <c r="E34" s="34">
        <v>7625.67</v>
      </c>
      <c r="F34" s="34">
        <v>7624</v>
      </c>
      <c r="G34" s="34"/>
    </row>
    <row r="35" spans="1:7" x14ac:dyDescent="0.35">
      <c r="A35" s="34" t="s">
        <v>537</v>
      </c>
      <c r="B35" s="34">
        <v>275</v>
      </c>
      <c r="C35" s="34">
        <v>4139.3100000000004</v>
      </c>
      <c r="D35" s="34">
        <v>4140.95</v>
      </c>
      <c r="E35" s="34">
        <v>4141.96</v>
      </c>
      <c r="F35" s="34">
        <v>4142.8900000000003</v>
      </c>
      <c r="G35" s="34"/>
    </row>
    <row r="36" spans="1:7" x14ac:dyDescent="0.35">
      <c r="A36" s="35" t="s">
        <v>538</v>
      </c>
      <c r="B36" s="35"/>
      <c r="C36" s="35">
        <v>80559.789999999994</v>
      </c>
      <c r="D36" s="35">
        <v>80562.41</v>
      </c>
      <c r="E36" s="35">
        <v>80550.75</v>
      </c>
      <c r="F36" s="35">
        <v>80538.5</v>
      </c>
      <c r="G36" s="35"/>
    </row>
    <row r="37" spans="1:7" x14ac:dyDescent="0.35">
      <c r="A37" s="36" t="s">
        <v>539</v>
      </c>
      <c r="B37" s="36"/>
      <c r="C37" s="36">
        <v>8147</v>
      </c>
      <c r="D37" s="36">
        <v>8364</v>
      </c>
      <c r="E37" s="36">
        <v>7761</v>
      </c>
      <c r="F37" s="36">
        <v>7123</v>
      </c>
      <c r="G37" s="36">
        <v>7042.75</v>
      </c>
    </row>
    <row r="38" spans="1:7" x14ac:dyDescent="0.35">
      <c r="A38" s="29" t="s">
        <v>540</v>
      </c>
      <c r="B38" s="29"/>
      <c r="C38" s="29">
        <v>88709</v>
      </c>
      <c r="D38" s="29">
        <v>88927</v>
      </c>
      <c r="E38" s="29">
        <v>88313</v>
      </c>
      <c r="F38" s="29">
        <v>87663</v>
      </c>
      <c r="G38" s="29">
        <v>88034.42</v>
      </c>
    </row>
    <row r="39" spans="1:7" x14ac:dyDescent="0.35">
      <c r="A39" s="30" t="s">
        <v>385</v>
      </c>
      <c r="B39" s="30"/>
      <c r="C39" s="30">
        <v>15967.62</v>
      </c>
      <c r="D39" s="30">
        <v>16006.86</v>
      </c>
      <c r="E39" s="30">
        <v>15896.34</v>
      </c>
      <c r="F39" s="30">
        <v>15779.34</v>
      </c>
      <c r="G39" s="30">
        <v>15846.19</v>
      </c>
    </row>
    <row r="40" spans="1:7" x14ac:dyDescent="0.35">
      <c r="A40" s="30" t="s">
        <v>541</v>
      </c>
      <c r="B40" s="30"/>
      <c r="C40" s="30">
        <v>104676.62</v>
      </c>
      <c r="D40" s="30">
        <v>104933.86</v>
      </c>
      <c r="E40" s="30">
        <v>104209.34</v>
      </c>
      <c r="F40" s="30">
        <v>103442.34</v>
      </c>
      <c r="G40" s="30">
        <v>103880.61</v>
      </c>
    </row>
    <row r="41" spans="1:7" x14ac:dyDescent="0.35">
      <c r="A41" s="33" t="s">
        <v>534</v>
      </c>
      <c r="B41" s="33">
        <v>1.4999999999999999E-2</v>
      </c>
      <c r="C41" s="33">
        <v>1570.11</v>
      </c>
      <c r="D41" s="33">
        <v>1574</v>
      </c>
      <c r="E41" s="33">
        <v>1563.12</v>
      </c>
      <c r="F41" s="33">
        <v>1551.61</v>
      </c>
      <c r="G41" s="33"/>
    </row>
    <row r="42" spans="1:7" x14ac:dyDescent="0.35">
      <c r="A42" s="30" t="s">
        <v>542</v>
      </c>
      <c r="B42" s="30"/>
      <c r="C42" s="30">
        <v>45378000</v>
      </c>
      <c r="D42" s="30">
        <v>8438150</v>
      </c>
      <c r="E42" s="30">
        <v>12428500</v>
      </c>
      <c r="F42" s="30">
        <v>112556400</v>
      </c>
      <c r="G42" s="30">
        <v>178801050</v>
      </c>
    </row>
    <row r="43" spans="1:7" x14ac:dyDescent="0.35">
      <c r="A43" s="37"/>
      <c r="B43" s="37"/>
      <c r="C43" s="37"/>
      <c r="D43" s="37"/>
      <c r="E43" s="37"/>
      <c r="F43" s="37"/>
      <c r="G43" s="37"/>
    </row>
    <row r="44" spans="1:7" x14ac:dyDescent="0.35">
      <c r="A44" s="30" t="s">
        <v>543</v>
      </c>
      <c r="B44" s="30"/>
      <c r="C44" s="30">
        <v>17593</v>
      </c>
      <c r="D44" s="30">
        <v>18649</v>
      </c>
      <c r="E44" s="30">
        <v>19359</v>
      </c>
      <c r="F44" s="30">
        <v>20068</v>
      </c>
      <c r="G44" s="30"/>
    </row>
    <row r="45" spans="1:7" x14ac:dyDescent="0.35">
      <c r="A45" s="30" t="s">
        <v>544</v>
      </c>
      <c r="B45" s="30">
        <v>500</v>
      </c>
      <c r="C45" s="30">
        <v>1952</v>
      </c>
      <c r="D45" s="30">
        <v>2068</v>
      </c>
      <c r="E45" s="30">
        <v>2146</v>
      </c>
      <c r="F45" s="30">
        <v>2225</v>
      </c>
      <c r="G45" s="30"/>
    </row>
    <row r="46" spans="1:7" x14ac:dyDescent="0.35">
      <c r="A46" s="30" t="s">
        <v>545</v>
      </c>
      <c r="B46" s="30">
        <v>275</v>
      </c>
      <c r="C46" s="30">
        <v>1059</v>
      </c>
      <c r="D46" s="30">
        <v>1123</v>
      </c>
      <c r="E46" s="30">
        <v>1166</v>
      </c>
      <c r="F46" s="30">
        <v>1209</v>
      </c>
      <c r="G46" s="30"/>
    </row>
    <row r="47" spans="1:7" x14ac:dyDescent="0.35">
      <c r="A47" s="30" t="s">
        <v>546</v>
      </c>
      <c r="B47" s="30"/>
      <c r="C47" s="30">
        <v>2084</v>
      </c>
      <c r="D47" s="30">
        <v>2267</v>
      </c>
      <c r="E47" s="30">
        <v>2184</v>
      </c>
      <c r="F47" s="30">
        <v>2078</v>
      </c>
      <c r="G47" s="30"/>
    </row>
    <row r="48" spans="1:7" x14ac:dyDescent="0.35">
      <c r="A48" s="29" t="s">
        <v>547</v>
      </c>
      <c r="B48" s="29"/>
      <c r="C48" s="29">
        <v>22689</v>
      </c>
      <c r="D48" s="29">
        <v>24109</v>
      </c>
      <c r="E48" s="29">
        <v>24857</v>
      </c>
      <c r="F48" s="29">
        <v>25581</v>
      </c>
      <c r="G48" s="29">
        <v>24662.21</v>
      </c>
    </row>
    <row r="49" spans="1:7" x14ac:dyDescent="0.35">
      <c r="A49" s="29" t="s">
        <v>542</v>
      </c>
      <c r="B49" s="29"/>
      <c r="C49" s="29">
        <v>45378000</v>
      </c>
      <c r="D49" s="29">
        <v>8438150</v>
      </c>
      <c r="E49" s="29">
        <v>12428500</v>
      </c>
      <c r="F49" s="29">
        <v>112556400</v>
      </c>
      <c r="G49" s="29">
        <v>178801050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5:H53"/>
  <sheetViews>
    <sheetView showGridLines="0" workbookViewId="0"/>
  </sheetViews>
  <sheetFormatPr defaultRowHeight="14.5" x14ac:dyDescent="0.35"/>
  <cols>
    <col min="1" max="1" width="14.6328125" customWidth="1"/>
    <col min="2" max="2" width="18.6328125" customWidth="1"/>
    <col min="3" max="3" width="24.6328125" customWidth="1"/>
    <col min="4" max="5" width="12.6328125" customWidth="1"/>
    <col min="6" max="6" width="14.6328125" customWidth="1"/>
    <col min="7" max="7" width="16.6328125" customWidth="1"/>
    <col min="8" max="8" width="20.6328125" customWidth="1"/>
  </cols>
  <sheetData>
    <row r="5" spans="1:8" x14ac:dyDescent="0.35">
      <c r="A5" t="s">
        <v>549</v>
      </c>
      <c r="C5" t="s">
        <v>550</v>
      </c>
      <c r="G5" t="s">
        <v>551</v>
      </c>
    </row>
    <row r="7" spans="1:8" x14ac:dyDescent="0.35">
      <c r="A7" t="s">
        <v>552</v>
      </c>
      <c r="C7" t="s">
        <v>332</v>
      </c>
    </row>
    <row r="8" spans="1:8" x14ac:dyDescent="0.35">
      <c r="A8" t="s">
        <v>553</v>
      </c>
      <c r="C8" t="s">
        <v>554</v>
      </c>
    </row>
    <row r="9" spans="1:8" x14ac:dyDescent="0.35">
      <c r="A9" t="s">
        <v>555</v>
      </c>
      <c r="C9" t="s">
        <v>556</v>
      </c>
    </row>
    <row r="10" spans="1:8" x14ac:dyDescent="0.35">
      <c r="A10" s="25" t="s">
        <v>557</v>
      </c>
      <c r="B10" s="25" t="s">
        <v>558</v>
      </c>
      <c r="C10" s="25" t="s">
        <v>559</v>
      </c>
      <c r="D10" s="25" t="s">
        <v>73</v>
      </c>
      <c r="E10" s="25"/>
      <c r="F10" s="25" t="s">
        <v>43</v>
      </c>
      <c r="G10" s="25" t="s">
        <v>560</v>
      </c>
      <c r="H10" s="25" t="s">
        <v>561</v>
      </c>
    </row>
    <row r="11" spans="1:8" x14ac:dyDescent="0.35">
      <c r="A11" s="24"/>
      <c r="B11" s="24"/>
      <c r="C11" s="24"/>
      <c r="D11" s="24" t="s">
        <v>562</v>
      </c>
      <c r="E11" s="24" t="s">
        <v>563</v>
      </c>
      <c r="F11" s="24" t="s">
        <v>564</v>
      </c>
      <c r="G11" s="24" t="s">
        <v>565</v>
      </c>
      <c r="H11" s="24" t="s">
        <v>566</v>
      </c>
    </row>
    <row r="12" spans="1:8" x14ac:dyDescent="0.35">
      <c r="A12" s="31">
        <v>1</v>
      </c>
      <c r="B12" s="31" t="s">
        <v>515</v>
      </c>
      <c r="C12" s="31" t="s">
        <v>567</v>
      </c>
      <c r="D12" s="31">
        <v>1243</v>
      </c>
      <c r="E12" s="31">
        <v>8.4</v>
      </c>
      <c r="F12" s="38">
        <v>2000</v>
      </c>
      <c r="G12" s="38">
        <v>22681</v>
      </c>
      <c r="H12" s="38">
        <v>45362000</v>
      </c>
    </row>
    <row r="13" spans="1:8" x14ac:dyDescent="0.35">
      <c r="A13" s="31">
        <v>2</v>
      </c>
      <c r="B13" s="31" t="s">
        <v>515</v>
      </c>
      <c r="C13" s="31" t="s">
        <v>567</v>
      </c>
      <c r="D13" s="31">
        <v>1317</v>
      </c>
      <c r="E13" s="31">
        <v>8.4</v>
      </c>
      <c r="F13" s="38">
        <v>350</v>
      </c>
      <c r="G13" s="38">
        <v>23914</v>
      </c>
      <c r="H13" s="38">
        <v>8369900</v>
      </c>
    </row>
    <row r="14" spans="1:8" x14ac:dyDescent="0.35">
      <c r="A14" s="31">
        <v>3</v>
      </c>
      <c r="B14" s="31" t="s">
        <v>515</v>
      </c>
      <c r="C14" s="31" t="s">
        <v>567</v>
      </c>
      <c r="D14" s="31">
        <v>1367</v>
      </c>
      <c r="E14" s="31">
        <v>8.4</v>
      </c>
      <c r="F14" s="38">
        <v>500</v>
      </c>
      <c r="G14" s="38">
        <v>24748</v>
      </c>
      <c r="H14" s="38">
        <v>12374000</v>
      </c>
    </row>
    <row r="15" spans="1:8" x14ac:dyDescent="0.35">
      <c r="A15" s="31">
        <v>4</v>
      </c>
      <c r="B15" s="31" t="s">
        <v>515</v>
      </c>
      <c r="C15" s="31" t="s">
        <v>567</v>
      </c>
      <c r="D15" s="31">
        <v>1417</v>
      </c>
      <c r="E15" s="31">
        <v>8.4</v>
      </c>
      <c r="F15" s="38">
        <v>4400</v>
      </c>
      <c r="G15" s="38">
        <v>25580</v>
      </c>
      <c r="H15" s="38">
        <v>112552000</v>
      </c>
    </row>
    <row r="16" spans="1:8" x14ac:dyDescent="0.35">
      <c r="A16" s="29" t="s">
        <v>568</v>
      </c>
      <c r="B16" s="29"/>
      <c r="C16" s="29"/>
      <c r="D16" s="29"/>
      <c r="E16" s="29"/>
      <c r="F16" s="39">
        <v>7250</v>
      </c>
      <c r="G16" s="29"/>
      <c r="H16" s="39">
        <v>178657900</v>
      </c>
    </row>
    <row r="17" spans="1:8" x14ac:dyDescent="0.35">
      <c r="A17" s="22" t="s">
        <v>569</v>
      </c>
    </row>
    <row r="18" spans="1:8" x14ac:dyDescent="0.35">
      <c r="A18" t="s">
        <v>570</v>
      </c>
    </row>
    <row r="19" spans="1:8" x14ac:dyDescent="0.35">
      <c r="A19" s="21" t="s">
        <v>571</v>
      </c>
      <c r="B19" s="21"/>
      <c r="C19" s="21"/>
      <c r="D19" s="21"/>
      <c r="E19" s="21"/>
      <c r="F19" s="21"/>
      <c r="G19" s="21"/>
      <c r="H19" s="21"/>
    </row>
    <row r="20" spans="1:8" ht="72.5" x14ac:dyDescent="0.35">
      <c r="A20" s="17" t="s">
        <v>572</v>
      </c>
      <c r="C20" s="23" t="s">
        <v>573</v>
      </c>
    </row>
    <row r="21" spans="1:8" x14ac:dyDescent="0.35">
      <c r="A21" s="17" t="s">
        <v>574</v>
      </c>
      <c r="C21" t="s">
        <v>575</v>
      </c>
    </row>
    <row r="22" spans="1:8" x14ac:dyDescent="0.35">
      <c r="A22" s="17" t="s">
        <v>576</v>
      </c>
      <c r="C22" t="s">
        <v>577</v>
      </c>
    </row>
    <row r="23" spans="1:8" x14ac:dyDescent="0.35">
      <c r="A23" s="17" t="s">
        <v>31</v>
      </c>
      <c r="C23" t="s">
        <v>578</v>
      </c>
    </row>
    <row r="24" spans="1:8" x14ac:dyDescent="0.35">
      <c r="A24" s="17" t="s">
        <v>579</v>
      </c>
      <c r="C24" t="s">
        <v>580</v>
      </c>
    </row>
    <row r="25" spans="1:8" x14ac:dyDescent="0.35">
      <c r="A25" s="17" t="s">
        <v>581</v>
      </c>
      <c r="C25" t="s">
        <v>582</v>
      </c>
    </row>
    <row r="26" spans="1:8" x14ac:dyDescent="0.35">
      <c r="A26" s="17" t="s">
        <v>583</v>
      </c>
      <c r="C26" t="s">
        <v>584</v>
      </c>
    </row>
    <row r="27" spans="1:8" x14ac:dyDescent="0.35">
      <c r="A27" s="17" t="s">
        <v>585</v>
      </c>
      <c r="C27" t="s">
        <v>586</v>
      </c>
    </row>
    <row r="28" spans="1:8" x14ac:dyDescent="0.35">
      <c r="A28" s="17" t="s">
        <v>587</v>
      </c>
      <c r="C28" t="s">
        <v>588</v>
      </c>
    </row>
    <row r="29" spans="1:8" x14ac:dyDescent="0.35">
      <c r="A29" s="17" t="s">
        <v>589</v>
      </c>
      <c r="C29" t="s">
        <v>590</v>
      </c>
    </row>
    <row r="30" spans="1:8" x14ac:dyDescent="0.35">
      <c r="A30" s="17" t="s">
        <v>68</v>
      </c>
      <c r="C30" t="s">
        <v>591</v>
      </c>
    </row>
    <row r="31" spans="1:8" x14ac:dyDescent="0.35">
      <c r="A31" s="17" t="s">
        <v>592</v>
      </c>
      <c r="C31" t="s">
        <v>593</v>
      </c>
    </row>
    <row r="32" spans="1:8" x14ac:dyDescent="0.35">
      <c r="A32" s="17" t="s">
        <v>594</v>
      </c>
      <c r="C32" t="s">
        <v>595</v>
      </c>
    </row>
    <row r="33" spans="1:3" x14ac:dyDescent="0.35">
      <c r="A33" s="17" t="s">
        <v>259</v>
      </c>
      <c r="C33" t="s">
        <v>596</v>
      </c>
    </row>
    <row r="34" spans="1:3" x14ac:dyDescent="0.35">
      <c r="A34" s="17" t="s">
        <v>597</v>
      </c>
      <c r="C34" t="s">
        <v>598</v>
      </c>
    </row>
    <row r="35" spans="1:3" x14ac:dyDescent="0.35">
      <c r="A35" s="17" t="s">
        <v>599</v>
      </c>
      <c r="C35" t="s">
        <v>600</v>
      </c>
    </row>
    <row r="36" spans="1:3" x14ac:dyDescent="0.35">
      <c r="A36" s="17" t="s">
        <v>601</v>
      </c>
      <c r="C36" t="s">
        <v>602</v>
      </c>
    </row>
    <row r="37" spans="1:3" x14ac:dyDescent="0.35">
      <c r="A37" s="17" t="s">
        <v>603</v>
      </c>
      <c r="C37" t="s">
        <v>604</v>
      </c>
    </row>
    <row r="38" spans="1:3" x14ac:dyDescent="0.35">
      <c r="A38" s="17" t="s">
        <v>45</v>
      </c>
      <c r="C38" t="s">
        <v>605</v>
      </c>
    </row>
    <row r="39" spans="1:3" x14ac:dyDescent="0.35">
      <c r="A39" s="17" t="s">
        <v>606</v>
      </c>
      <c r="C39" t="s">
        <v>607</v>
      </c>
    </row>
    <row r="40" spans="1:3" x14ac:dyDescent="0.35">
      <c r="A40" s="17" t="s">
        <v>608</v>
      </c>
      <c r="C40" t="s">
        <v>609</v>
      </c>
    </row>
    <row r="41" spans="1:3" x14ac:dyDescent="0.35">
      <c r="A41" s="17" t="s">
        <v>610</v>
      </c>
      <c r="C41" t="s">
        <v>611</v>
      </c>
    </row>
    <row r="42" spans="1:3" x14ac:dyDescent="0.35">
      <c r="A42" s="17" t="s">
        <v>612</v>
      </c>
      <c r="C42" t="s">
        <v>613</v>
      </c>
    </row>
    <row r="43" spans="1:3" x14ac:dyDescent="0.35">
      <c r="A43" s="17" t="s">
        <v>614</v>
      </c>
      <c r="C43" t="s">
        <v>615</v>
      </c>
    </row>
    <row r="44" spans="1:3" x14ac:dyDescent="0.35">
      <c r="A44" s="17" t="s">
        <v>616</v>
      </c>
      <c r="C44" t="s">
        <v>617</v>
      </c>
    </row>
    <row r="45" spans="1:3" x14ac:dyDescent="0.35">
      <c r="A45" s="17" t="s">
        <v>618</v>
      </c>
      <c r="C45" t="s">
        <v>619</v>
      </c>
    </row>
    <row r="46" spans="1:3" x14ac:dyDescent="0.35">
      <c r="A46" s="17" t="s">
        <v>620</v>
      </c>
      <c r="C46" t="s">
        <v>621</v>
      </c>
    </row>
    <row r="49" spans="1:1" x14ac:dyDescent="0.35">
      <c r="A49" s="17" t="s">
        <v>622</v>
      </c>
    </row>
    <row r="53" spans="1:1" x14ac:dyDescent="0.35">
      <c r="A53" s="17" t="s">
        <v>623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4"/>
  <sheetViews>
    <sheetView showGridLines="0" workbookViewId="0"/>
  </sheetViews>
  <sheetFormatPr defaultRowHeight="14.5" x14ac:dyDescent="0.35"/>
  <cols>
    <col min="1" max="1" width="20.7265625" customWidth="1"/>
    <col min="2" max="2" width="42.7265625" customWidth="1"/>
    <col min="3" max="3" width="17.36328125" customWidth="1"/>
    <col min="4" max="4" width="16.7265625" customWidth="1"/>
    <col min="5" max="5" width="18.7265625" customWidth="1"/>
    <col min="6" max="6" width="12.7265625" customWidth="1"/>
    <col min="7" max="7" width="28.7265625" customWidth="1"/>
    <col min="8" max="8" width="20.7265625" customWidth="1"/>
    <col min="9" max="9" width="12.7265625" customWidth="1"/>
  </cols>
  <sheetData>
    <row r="1" spans="1:4" ht="21" x14ac:dyDescent="0.5">
      <c r="A1" s="1" t="s">
        <v>69</v>
      </c>
    </row>
    <row r="3" spans="1:4" x14ac:dyDescent="0.35">
      <c r="A3" s="2" t="s">
        <v>70</v>
      </c>
      <c r="B3" s="2" t="s">
        <v>71</v>
      </c>
      <c r="C3" s="2" t="s">
        <v>72</v>
      </c>
      <c r="D3" s="2" t="s">
        <v>73</v>
      </c>
    </row>
    <row r="4" spans="1:4" x14ac:dyDescent="0.35">
      <c r="A4" t="s">
        <v>74</v>
      </c>
      <c r="B4" t="s">
        <v>75</v>
      </c>
      <c r="C4" t="s">
        <v>48</v>
      </c>
      <c r="D4" t="s">
        <v>76</v>
      </c>
    </row>
    <row r="5" spans="1:4" x14ac:dyDescent="0.35">
      <c r="A5" t="s">
        <v>77</v>
      </c>
      <c r="B5" t="s">
        <v>78</v>
      </c>
      <c r="C5" t="s">
        <v>79</v>
      </c>
      <c r="D5" t="s">
        <v>80</v>
      </c>
    </row>
    <row r="6" spans="1:4" x14ac:dyDescent="0.35">
      <c r="A6" t="s">
        <v>39</v>
      </c>
      <c r="B6" t="s">
        <v>81</v>
      </c>
      <c r="C6" t="s">
        <v>82</v>
      </c>
      <c r="D6" t="s">
        <v>83</v>
      </c>
    </row>
    <row r="7" spans="1:4" x14ac:dyDescent="0.35">
      <c r="A7" t="s">
        <v>84</v>
      </c>
      <c r="B7" t="s">
        <v>85</v>
      </c>
      <c r="C7" t="s">
        <v>51</v>
      </c>
      <c r="D7" t="s">
        <v>86</v>
      </c>
    </row>
    <row r="8" spans="1:4" x14ac:dyDescent="0.35">
      <c r="A8" t="s">
        <v>87</v>
      </c>
      <c r="B8" t="s">
        <v>88</v>
      </c>
      <c r="C8" t="s">
        <v>89</v>
      </c>
      <c r="D8" t="s">
        <v>90</v>
      </c>
    </row>
    <row r="9" spans="1:4" x14ac:dyDescent="0.35">
      <c r="A9" t="s">
        <v>91</v>
      </c>
      <c r="B9" t="s">
        <v>92</v>
      </c>
      <c r="C9" t="s">
        <v>89</v>
      </c>
      <c r="D9" t="s">
        <v>93</v>
      </c>
    </row>
    <row r="10" spans="1:4" x14ac:dyDescent="0.35">
      <c r="A10" t="s">
        <v>94</v>
      </c>
      <c r="B10" t="s">
        <v>95</v>
      </c>
      <c r="C10" t="s">
        <v>65</v>
      </c>
      <c r="D10" t="s">
        <v>96</v>
      </c>
    </row>
    <row r="11" spans="1:4" x14ac:dyDescent="0.35">
      <c r="A11" t="s">
        <v>97</v>
      </c>
      <c r="B11" t="s">
        <v>98</v>
      </c>
      <c r="C11" t="s">
        <v>99</v>
      </c>
      <c r="D11" t="s">
        <v>100</v>
      </c>
    </row>
    <row r="12" spans="1:4" x14ac:dyDescent="0.35">
      <c r="A12" t="s">
        <v>31</v>
      </c>
      <c r="B12" t="s">
        <v>101</v>
      </c>
      <c r="C12" t="s">
        <v>102</v>
      </c>
      <c r="D12" t="s">
        <v>103</v>
      </c>
    </row>
    <row r="13" spans="1:4" x14ac:dyDescent="0.35">
      <c r="A13" t="s">
        <v>104</v>
      </c>
      <c r="B13" t="s">
        <v>105</v>
      </c>
      <c r="C13" t="s">
        <v>106</v>
      </c>
      <c r="D13" t="s">
        <v>107</v>
      </c>
    </row>
    <row r="17" spans="1:9" x14ac:dyDescent="0.35">
      <c r="A17" t="s">
        <v>48</v>
      </c>
      <c r="B17" t="s">
        <v>108</v>
      </c>
      <c r="C17" t="s">
        <v>36</v>
      </c>
      <c r="D17" t="s">
        <v>109</v>
      </c>
      <c r="E17" t="s">
        <v>110</v>
      </c>
      <c r="F17" t="s">
        <v>111</v>
      </c>
      <c r="G17" t="s">
        <v>112</v>
      </c>
      <c r="H17" t="s">
        <v>113</v>
      </c>
      <c r="I17" t="s">
        <v>114</v>
      </c>
    </row>
    <row r="18" spans="1:9" x14ac:dyDescent="0.35">
      <c r="A18" t="s">
        <v>115</v>
      </c>
      <c r="B18" t="s">
        <v>116</v>
      </c>
      <c r="C18" t="s">
        <v>117</v>
      </c>
      <c r="D18" t="s">
        <v>118</v>
      </c>
      <c r="E18" t="s">
        <v>118</v>
      </c>
      <c r="I18" t="s">
        <v>119</v>
      </c>
    </row>
    <row r="19" spans="1:9" x14ac:dyDescent="0.35">
      <c r="A19" t="s">
        <v>120</v>
      </c>
      <c r="B19" t="s">
        <v>121</v>
      </c>
      <c r="C19" t="s">
        <v>117</v>
      </c>
      <c r="D19" t="s">
        <v>119</v>
      </c>
      <c r="E19" t="s">
        <v>122</v>
      </c>
      <c r="I19" t="s">
        <v>119</v>
      </c>
    </row>
    <row r="20" spans="1:9" x14ac:dyDescent="0.35">
      <c r="A20" t="s">
        <v>123</v>
      </c>
      <c r="B20" t="s">
        <v>124</v>
      </c>
      <c r="C20" t="s">
        <v>125</v>
      </c>
      <c r="D20" t="s">
        <v>118</v>
      </c>
      <c r="E20" t="s">
        <v>118</v>
      </c>
      <c r="I20" t="s">
        <v>119</v>
      </c>
    </row>
    <row r="21" spans="1:9" x14ac:dyDescent="0.35">
      <c r="A21" t="s">
        <v>126</v>
      </c>
      <c r="B21" t="s">
        <v>127</v>
      </c>
      <c r="C21" t="s">
        <v>125</v>
      </c>
      <c r="D21" t="s">
        <v>119</v>
      </c>
      <c r="E21" t="s">
        <v>122</v>
      </c>
      <c r="I21" t="s">
        <v>119</v>
      </c>
    </row>
    <row r="24" spans="1:9" x14ac:dyDescent="0.35">
      <c r="A24" t="s">
        <v>79</v>
      </c>
      <c r="B24" t="s">
        <v>36</v>
      </c>
      <c r="C24" t="s">
        <v>37</v>
      </c>
      <c r="D24" t="s">
        <v>49</v>
      </c>
      <c r="E24" t="s">
        <v>114</v>
      </c>
      <c r="F24" t="s">
        <v>128</v>
      </c>
      <c r="G24" t="s">
        <v>129</v>
      </c>
    </row>
    <row r="25" spans="1:9" x14ac:dyDescent="0.35">
      <c r="A25" t="s">
        <v>130</v>
      </c>
      <c r="B25" t="s">
        <v>117</v>
      </c>
      <c r="C25" t="s">
        <v>131</v>
      </c>
      <c r="D25">
        <v>1226</v>
      </c>
      <c r="E25" t="s">
        <v>119</v>
      </c>
      <c r="F25" t="s">
        <v>118</v>
      </c>
    </row>
    <row r="26" spans="1:9" x14ac:dyDescent="0.35">
      <c r="A26" t="s">
        <v>132</v>
      </c>
      <c r="B26" t="s">
        <v>117</v>
      </c>
      <c r="C26" t="s">
        <v>131</v>
      </c>
      <c r="D26">
        <v>1300</v>
      </c>
      <c r="E26" t="s">
        <v>119</v>
      </c>
      <c r="F26" t="s">
        <v>118</v>
      </c>
    </row>
    <row r="27" spans="1:9" x14ac:dyDescent="0.35">
      <c r="A27" t="s">
        <v>133</v>
      </c>
      <c r="B27" t="s">
        <v>117</v>
      </c>
      <c r="C27" t="s">
        <v>131</v>
      </c>
      <c r="D27">
        <v>1350</v>
      </c>
      <c r="E27" t="s">
        <v>119</v>
      </c>
      <c r="F27" t="s">
        <v>118</v>
      </c>
    </row>
    <row r="28" spans="1:9" x14ac:dyDescent="0.35">
      <c r="A28" t="s">
        <v>134</v>
      </c>
      <c r="B28" t="s">
        <v>117</v>
      </c>
      <c r="C28" t="s">
        <v>131</v>
      </c>
      <c r="D28">
        <v>1400</v>
      </c>
      <c r="E28" t="s">
        <v>119</v>
      </c>
      <c r="F28" t="s">
        <v>118</v>
      </c>
    </row>
    <row r="29" spans="1:9" x14ac:dyDescent="0.35">
      <c r="A29" t="s">
        <v>135</v>
      </c>
      <c r="B29" t="s">
        <v>117</v>
      </c>
      <c r="C29" t="s">
        <v>136</v>
      </c>
      <c r="D29">
        <v>457</v>
      </c>
      <c r="E29" t="s">
        <v>119</v>
      </c>
      <c r="F29" t="s">
        <v>118</v>
      </c>
    </row>
    <row r="30" spans="1:9" x14ac:dyDescent="0.35">
      <c r="A30" t="s">
        <v>137</v>
      </c>
      <c r="B30" t="s">
        <v>117</v>
      </c>
      <c r="C30" t="s">
        <v>136</v>
      </c>
      <c r="D30">
        <v>508</v>
      </c>
      <c r="E30" t="s">
        <v>119</v>
      </c>
      <c r="F30" t="s">
        <v>118</v>
      </c>
    </row>
    <row r="31" spans="1:9" x14ac:dyDescent="0.35">
      <c r="A31" t="s">
        <v>138</v>
      </c>
      <c r="B31" t="s">
        <v>117</v>
      </c>
      <c r="C31" t="s">
        <v>136</v>
      </c>
      <c r="D31">
        <v>610</v>
      </c>
      <c r="E31" t="s">
        <v>119</v>
      </c>
      <c r="F31" t="s">
        <v>118</v>
      </c>
    </row>
    <row r="32" spans="1:9" x14ac:dyDescent="0.35">
      <c r="A32" t="s">
        <v>139</v>
      </c>
      <c r="B32" t="s">
        <v>117</v>
      </c>
      <c r="C32" t="s">
        <v>136</v>
      </c>
      <c r="D32">
        <v>762</v>
      </c>
      <c r="E32" t="s">
        <v>119</v>
      </c>
      <c r="F32" t="s">
        <v>118</v>
      </c>
    </row>
    <row r="33" spans="1:6" x14ac:dyDescent="0.35">
      <c r="A33" t="s">
        <v>140</v>
      </c>
      <c r="B33" t="s">
        <v>117</v>
      </c>
      <c r="C33" t="s">
        <v>136</v>
      </c>
      <c r="D33">
        <v>914</v>
      </c>
      <c r="E33" t="s">
        <v>119</v>
      </c>
      <c r="F33" t="s">
        <v>118</v>
      </c>
    </row>
    <row r="34" spans="1:6" x14ac:dyDescent="0.35">
      <c r="A34" t="s">
        <v>141</v>
      </c>
      <c r="B34" t="s">
        <v>117</v>
      </c>
      <c r="C34" t="s">
        <v>136</v>
      </c>
      <c r="D34">
        <v>1016</v>
      </c>
      <c r="E34" t="s">
        <v>119</v>
      </c>
      <c r="F34" t="s">
        <v>118</v>
      </c>
    </row>
    <row r="35" spans="1:6" x14ac:dyDescent="0.35">
      <c r="A35" t="s">
        <v>142</v>
      </c>
      <c r="B35" t="s">
        <v>117</v>
      </c>
      <c r="C35" t="s">
        <v>136</v>
      </c>
      <c r="D35">
        <v>1219</v>
      </c>
      <c r="E35" t="s">
        <v>119</v>
      </c>
      <c r="F35" t="s">
        <v>118</v>
      </c>
    </row>
    <row r="36" spans="1:6" x14ac:dyDescent="0.35">
      <c r="A36" t="s">
        <v>143</v>
      </c>
      <c r="B36" t="s">
        <v>117</v>
      </c>
      <c r="C36" t="s">
        <v>136</v>
      </c>
      <c r="D36">
        <v>1422</v>
      </c>
      <c r="E36" t="s">
        <v>119</v>
      </c>
      <c r="F36" t="s">
        <v>118</v>
      </c>
    </row>
    <row r="37" spans="1:6" x14ac:dyDescent="0.35">
      <c r="A37" t="s">
        <v>144</v>
      </c>
      <c r="B37" t="s">
        <v>117</v>
      </c>
      <c r="C37" t="s">
        <v>136</v>
      </c>
      <c r="D37">
        <v>1524</v>
      </c>
      <c r="E37" t="s">
        <v>119</v>
      </c>
      <c r="F37" t="s">
        <v>118</v>
      </c>
    </row>
    <row r="38" spans="1:6" x14ac:dyDescent="0.35">
      <c r="A38" t="s">
        <v>145</v>
      </c>
      <c r="B38" t="s">
        <v>117</v>
      </c>
      <c r="C38" t="s">
        <v>136</v>
      </c>
      <c r="D38">
        <v>1829</v>
      </c>
      <c r="E38" t="s">
        <v>119</v>
      </c>
      <c r="F38" t="s">
        <v>118</v>
      </c>
    </row>
    <row r="39" spans="1:6" x14ac:dyDescent="0.35">
      <c r="A39" t="s">
        <v>146</v>
      </c>
      <c r="B39" t="s">
        <v>117</v>
      </c>
      <c r="C39" t="s">
        <v>136</v>
      </c>
      <c r="D39">
        <v>2134</v>
      </c>
      <c r="E39" t="s">
        <v>119</v>
      </c>
      <c r="F39" t="s">
        <v>118</v>
      </c>
    </row>
    <row r="40" spans="1:6" x14ac:dyDescent="0.35">
      <c r="A40" t="s">
        <v>147</v>
      </c>
      <c r="B40" t="s">
        <v>117</v>
      </c>
      <c r="C40" t="s">
        <v>136</v>
      </c>
      <c r="D40">
        <v>2540</v>
      </c>
      <c r="E40" t="s">
        <v>119</v>
      </c>
      <c r="F40" t="s">
        <v>118</v>
      </c>
    </row>
    <row r="41" spans="1:6" x14ac:dyDescent="0.35">
      <c r="A41" t="s">
        <v>148</v>
      </c>
      <c r="B41" t="s">
        <v>125</v>
      </c>
      <c r="C41" t="s">
        <v>136</v>
      </c>
      <c r="D41">
        <v>168.3</v>
      </c>
      <c r="E41" t="s">
        <v>119</v>
      </c>
      <c r="F41" t="s">
        <v>118</v>
      </c>
    </row>
    <row r="42" spans="1:6" x14ac:dyDescent="0.35">
      <c r="A42" t="s">
        <v>149</v>
      </c>
      <c r="B42" t="s">
        <v>125</v>
      </c>
      <c r="C42" t="s">
        <v>136</v>
      </c>
      <c r="D42">
        <v>219.1</v>
      </c>
      <c r="E42" t="s">
        <v>119</v>
      </c>
      <c r="F42" t="s">
        <v>118</v>
      </c>
    </row>
    <row r="43" spans="1:6" x14ac:dyDescent="0.35">
      <c r="A43" t="s">
        <v>150</v>
      </c>
      <c r="B43" t="s">
        <v>125</v>
      </c>
      <c r="C43" t="s">
        <v>136</v>
      </c>
      <c r="D43">
        <v>273.10000000000002</v>
      </c>
      <c r="E43" t="s">
        <v>119</v>
      </c>
      <c r="F43" t="s">
        <v>118</v>
      </c>
    </row>
    <row r="44" spans="1:6" x14ac:dyDescent="0.35">
      <c r="A44" t="s">
        <v>151</v>
      </c>
      <c r="B44" t="s">
        <v>125</v>
      </c>
      <c r="C44" t="s">
        <v>136</v>
      </c>
      <c r="D44">
        <v>323.89999999999998</v>
      </c>
      <c r="E44" t="s">
        <v>119</v>
      </c>
      <c r="F44" t="s">
        <v>118</v>
      </c>
    </row>
    <row r="45" spans="1:6" x14ac:dyDescent="0.35">
      <c r="A45" t="s">
        <v>152</v>
      </c>
      <c r="B45" t="s">
        <v>125</v>
      </c>
      <c r="C45" t="s">
        <v>136</v>
      </c>
      <c r="D45">
        <v>355.6</v>
      </c>
      <c r="E45" t="s">
        <v>119</v>
      </c>
      <c r="F45" t="s">
        <v>118</v>
      </c>
    </row>
    <row r="46" spans="1:6" x14ac:dyDescent="0.35">
      <c r="A46" t="s">
        <v>153</v>
      </c>
      <c r="B46" t="s">
        <v>125</v>
      </c>
      <c r="C46" t="s">
        <v>136</v>
      </c>
      <c r="D46">
        <v>406.4</v>
      </c>
      <c r="E46" t="s">
        <v>119</v>
      </c>
      <c r="F46" t="s">
        <v>118</v>
      </c>
    </row>
    <row r="47" spans="1:6" x14ac:dyDescent="0.35">
      <c r="A47" t="s">
        <v>154</v>
      </c>
      <c r="B47" t="s">
        <v>125</v>
      </c>
      <c r="C47" t="s">
        <v>136</v>
      </c>
      <c r="D47">
        <v>457.2</v>
      </c>
      <c r="E47" t="s">
        <v>119</v>
      </c>
      <c r="F47" t="s">
        <v>118</v>
      </c>
    </row>
    <row r="48" spans="1:6" x14ac:dyDescent="0.35">
      <c r="A48" t="s">
        <v>155</v>
      </c>
      <c r="B48" t="s">
        <v>125</v>
      </c>
      <c r="C48" t="s">
        <v>136</v>
      </c>
      <c r="D48">
        <v>508</v>
      </c>
      <c r="E48" t="s">
        <v>119</v>
      </c>
      <c r="F48" t="s">
        <v>118</v>
      </c>
    </row>
    <row r="53" spans="1:6" x14ac:dyDescent="0.35">
      <c r="A53" t="s">
        <v>82</v>
      </c>
      <c r="B53" t="s">
        <v>36</v>
      </c>
      <c r="C53" t="s">
        <v>50</v>
      </c>
      <c r="D53" t="s">
        <v>156</v>
      </c>
      <c r="E53" t="s">
        <v>157</v>
      </c>
      <c r="F53" t="s">
        <v>114</v>
      </c>
    </row>
    <row r="54" spans="1:6" x14ac:dyDescent="0.35">
      <c r="A54" t="s">
        <v>158</v>
      </c>
      <c r="B54" t="s">
        <v>117</v>
      </c>
      <c r="C54">
        <v>6.4</v>
      </c>
      <c r="D54">
        <v>5</v>
      </c>
      <c r="E54">
        <v>25.4</v>
      </c>
      <c r="F54" t="s">
        <v>119</v>
      </c>
    </row>
    <row r="55" spans="1:6" x14ac:dyDescent="0.35">
      <c r="A55" t="s">
        <v>159</v>
      </c>
      <c r="B55" t="s">
        <v>117</v>
      </c>
      <c r="C55">
        <v>7.1</v>
      </c>
      <c r="D55">
        <v>5</v>
      </c>
      <c r="E55">
        <v>25.4</v>
      </c>
      <c r="F55" t="s">
        <v>119</v>
      </c>
    </row>
    <row r="56" spans="1:6" x14ac:dyDescent="0.35">
      <c r="A56" t="s">
        <v>160</v>
      </c>
      <c r="B56" t="s">
        <v>117</v>
      </c>
      <c r="C56">
        <v>7.9</v>
      </c>
      <c r="D56">
        <v>5</v>
      </c>
      <c r="E56">
        <v>25.4</v>
      </c>
      <c r="F56" t="s">
        <v>119</v>
      </c>
    </row>
    <row r="57" spans="1:6" x14ac:dyDescent="0.35">
      <c r="A57" t="s">
        <v>161</v>
      </c>
      <c r="B57" t="s">
        <v>117</v>
      </c>
      <c r="C57">
        <v>8.4</v>
      </c>
      <c r="D57">
        <v>5</v>
      </c>
      <c r="E57">
        <v>25.4</v>
      </c>
      <c r="F57" t="s">
        <v>119</v>
      </c>
    </row>
    <row r="58" spans="1:6" x14ac:dyDescent="0.35">
      <c r="A58" t="s">
        <v>162</v>
      </c>
      <c r="B58" t="s">
        <v>117</v>
      </c>
      <c r="C58">
        <v>9.5</v>
      </c>
      <c r="D58">
        <v>5</v>
      </c>
      <c r="E58">
        <v>25.4</v>
      </c>
      <c r="F58" t="s">
        <v>119</v>
      </c>
    </row>
    <row r="59" spans="1:6" x14ac:dyDescent="0.35">
      <c r="A59" t="s">
        <v>163</v>
      </c>
      <c r="B59" t="s">
        <v>117</v>
      </c>
      <c r="C59">
        <v>11.1</v>
      </c>
      <c r="D59">
        <v>5</v>
      </c>
      <c r="E59">
        <v>25.4</v>
      </c>
      <c r="F59" t="s">
        <v>119</v>
      </c>
    </row>
    <row r="60" spans="1:6" x14ac:dyDescent="0.35">
      <c r="A60" t="s">
        <v>164</v>
      </c>
      <c r="B60" t="s">
        <v>117</v>
      </c>
      <c r="C60">
        <v>12.7</v>
      </c>
      <c r="D60">
        <v>5</v>
      </c>
      <c r="E60">
        <v>25.4</v>
      </c>
      <c r="F60" t="s">
        <v>119</v>
      </c>
    </row>
    <row r="61" spans="1:6" x14ac:dyDescent="0.35">
      <c r="A61" t="s">
        <v>165</v>
      </c>
      <c r="B61" t="s">
        <v>117</v>
      </c>
      <c r="C61">
        <v>15.9</v>
      </c>
      <c r="D61">
        <v>5</v>
      </c>
      <c r="E61">
        <v>25.4</v>
      </c>
      <c r="F61" t="s">
        <v>119</v>
      </c>
    </row>
    <row r="62" spans="1:6" x14ac:dyDescent="0.35">
      <c r="A62" t="s">
        <v>166</v>
      </c>
      <c r="B62" t="s">
        <v>117</v>
      </c>
      <c r="C62">
        <v>19.100000000000001</v>
      </c>
      <c r="D62">
        <v>5</v>
      </c>
      <c r="E62">
        <v>25.4</v>
      </c>
      <c r="F62" t="s">
        <v>119</v>
      </c>
    </row>
    <row r="63" spans="1:6" x14ac:dyDescent="0.35">
      <c r="A63" t="s">
        <v>167</v>
      </c>
      <c r="B63" t="s">
        <v>117</v>
      </c>
      <c r="C63">
        <v>25.4</v>
      </c>
      <c r="D63">
        <v>5</v>
      </c>
      <c r="E63">
        <v>25.4</v>
      </c>
      <c r="F63" t="s">
        <v>119</v>
      </c>
    </row>
    <row r="64" spans="1:6" x14ac:dyDescent="0.35">
      <c r="A64" t="s">
        <v>168</v>
      </c>
      <c r="B64" t="s">
        <v>125</v>
      </c>
      <c r="C64">
        <v>3.5</v>
      </c>
      <c r="D64">
        <v>3.5</v>
      </c>
      <c r="E64">
        <v>17</v>
      </c>
      <c r="F64" t="s">
        <v>119</v>
      </c>
    </row>
    <row r="65" spans="1:6" x14ac:dyDescent="0.35">
      <c r="A65" t="s">
        <v>169</v>
      </c>
      <c r="B65" t="s">
        <v>125</v>
      </c>
      <c r="C65">
        <v>4</v>
      </c>
      <c r="D65">
        <v>3.5</v>
      </c>
      <c r="E65">
        <v>17</v>
      </c>
      <c r="F65" t="s">
        <v>119</v>
      </c>
    </row>
    <row r="66" spans="1:6" x14ac:dyDescent="0.35">
      <c r="A66" t="s">
        <v>170</v>
      </c>
      <c r="B66" t="s">
        <v>125</v>
      </c>
      <c r="C66">
        <v>4.5</v>
      </c>
      <c r="D66">
        <v>3.5</v>
      </c>
      <c r="E66">
        <v>17</v>
      </c>
      <c r="F66" t="s">
        <v>119</v>
      </c>
    </row>
    <row r="67" spans="1:6" x14ac:dyDescent="0.35">
      <c r="A67" t="s">
        <v>171</v>
      </c>
      <c r="B67" t="s">
        <v>125</v>
      </c>
      <c r="C67">
        <v>5</v>
      </c>
      <c r="D67">
        <v>3.5</v>
      </c>
      <c r="E67">
        <v>17</v>
      </c>
      <c r="F67" t="s">
        <v>119</v>
      </c>
    </row>
    <row r="68" spans="1:6" x14ac:dyDescent="0.35">
      <c r="A68" t="s">
        <v>172</v>
      </c>
      <c r="B68" t="s">
        <v>125</v>
      </c>
      <c r="C68">
        <v>5.6</v>
      </c>
      <c r="D68">
        <v>3.5</v>
      </c>
      <c r="E68">
        <v>17</v>
      </c>
      <c r="F68" t="s">
        <v>119</v>
      </c>
    </row>
    <row r="69" spans="1:6" x14ac:dyDescent="0.35">
      <c r="A69" t="s">
        <v>173</v>
      </c>
      <c r="B69" t="s">
        <v>125</v>
      </c>
      <c r="C69">
        <v>6.4</v>
      </c>
      <c r="D69">
        <v>3.5</v>
      </c>
      <c r="E69">
        <v>17</v>
      </c>
      <c r="F69" t="s">
        <v>119</v>
      </c>
    </row>
    <row r="70" spans="1:6" x14ac:dyDescent="0.35">
      <c r="A70" t="s">
        <v>174</v>
      </c>
      <c r="B70" t="s">
        <v>125</v>
      </c>
      <c r="C70">
        <v>7.1</v>
      </c>
      <c r="D70">
        <v>3.5</v>
      </c>
      <c r="E70">
        <v>17</v>
      </c>
      <c r="F70" t="s">
        <v>119</v>
      </c>
    </row>
    <row r="71" spans="1:6" x14ac:dyDescent="0.35">
      <c r="A71" t="s">
        <v>175</v>
      </c>
      <c r="B71" t="s">
        <v>125</v>
      </c>
      <c r="C71">
        <v>8</v>
      </c>
      <c r="D71">
        <v>3.5</v>
      </c>
      <c r="E71">
        <v>17</v>
      </c>
      <c r="F71" t="s">
        <v>119</v>
      </c>
    </row>
    <row r="72" spans="1:6" x14ac:dyDescent="0.35">
      <c r="A72" t="s">
        <v>176</v>
      </c>
      <c r="B72" t="s">
        <v>125</v>
      </c>
      <c r="C72">
        <v>8.8000000000000007</v>
      </c>
      <c r="D72">
        <v>3.5</v>
      </c>
      <c r="E72">
        <v>17</v>
      </c>
      <c r="F72" t="s">
        <v>119</v>
      </c>
    </row>
    <row r="73" spans="1:6" x14ac:dyDescent="0.35">
      <c r="A73" t="s">
        <v>177</v>
      </c>
      <c r="B73" t="s">
        <v>125</v>
      </c>
      <c r="C73">
        <v>10</v>
      </c>
      <c r="D73">
        <v>3.5</v>
      </c>
      <c r="E73">
        <v>17</v>
      </c>
      <c r="F73" t="s">
        <v>119</v>
      </c>
    </row>
    <row r="74" spans="1:6" x14ac:dyDescent="0.35">
      <c r="A74" t="s">
        <v>178</v>
      </c>
      <c r="B74" t="s">
        <v>125</v>
      </c>
      <c r="C74">
        <v>12.5</v>
      </c>
      <c r="D74">
        <v>3.5</v>
      </c>
      <c r="E74">
        <v>17</v>
      </c>
      <c r="F74" t="s">
        <v>119</v>
      </c>
    </row>
    <row r="75" spans="1:6" x14ac:dyDescent="0.35">
      <c r="A75" t="s">
        <v>179</v>
      </c>
      <c r="B75" t="s">
        <v>125</v>
      </c>
      <c r="C75">
        <v>14.2</v>
      </c>
      <c r="D75">
        <v>3.5</v>
      </c>
      <c r="E75">
        <v>17</v>
      </c>
      <c r="F75" t="s">
        <v>119</v>
      </c>
    </row>
    <row r="76" spans="1:6" x14ac:dyDescent="0.35">
      <c r="A76" t="s">
        <v>180</v>
      </c>
      <c r="B76" t="s">
        <v>125</v>
      </c>
      <c r="C76">
        <v>16</v>
      </c>
      <c r="D76">
        <v>3.5</v>
      </c>
      <c r="E76">
        <v>17</v>
      </c>
      <c r="F76" t="s">
        <v>119</v>
      </c>
    </row>
    <row r="80" spans="1:6" x14ac:dyDescent="0.35">
      <c r="A80" t="s">
        <v>51</v>
      </c>
      <c r="B80" t="s">
        <v>36</v>
      </c>
      <c r="C80" t="s">
        <v>181</v>
      </c>
      <c r="D80" t="s">
        <v>114</v>
      </c>
    </row>
    <row r="81" spans="1:4" x14ac:dyDescent="0.35">
      <c r="A81" t="s">
        <v>158</v>
      </c>
      <c r="B81" t="s">
        <v>117</v>
      </c>
      <c r="C81" t="s">
        <v>182</v>
      </c>
      <c r="D81" t="s">
        <v>119</v>
      </c>
    </row>
    <row r="82" spans="1:4" x14ac:dyDescent="0.35">
      <c r="A82" t="s">
        <v>159</v>
      </c>
      <c r="B82" t="s">
        <v>117</v>
      </c>
      <c r="C82" t="s">
        <v>183</v>
      </c>
      <c r="D82" t="s">
        <v>119</v>
      </c>
    </row>
    <row r="83" spans="1:4" x14ac:dyDescent="0.35">
      <c r="A83" t="s">
        <v>160</v>
      </c>
      <c r="B83" t="s">
        <v>117</v>
      </c>
      <c r="C83" t="s">
        <v>184</v>
      </c>
      <c r="D83" t="s">
        <v>119</v>
      </c>
    </row>
    <row r="84" spans="1:4" x14ac:dyDescent="0.35">
      <c r="A84" t="s">
        <v>161</v>
      </c>
      <c r="B84" t="s">
        <v>117</v>
      </c>
      <c r="C84" t="s">
        <v>185</v>
      </c>
      <c r="D84" t="s">
        <v>119</v>
      </c>
    </row>
    <row r="85" spans="1:4" x14ac:dyDescent="0.35">
      <c r="A85" t="s">
        <v>162</v>
      </c>
      <c r="B85" t="s">
        <v>117</v>
      </c>
      <c r="C85" t="s">
        <v>186</v>
      </c>
      <c r="D85" t="s">
        <v>119</v>
      </c>
    </row>
    <row r="86" spans="1:4" x14ac:dyDescent="0.35">
      <c r="A86" t="s">
        <v>163</v>
      </c>
      <c r="B86" t="s">
        <v>117</v>
      </c>
      <c r="C86" t="s">
        <v>187</v>
      </c>
      <c r="D86" t="s">
        <v>119</v>
      </c>
    </row>
    <row r="87" spans="1:4" x14ac:dyDescent="0.35">
      <c r="A87" t="s">
        <v>164</v>
      </c>
      <c r="B87" t="s">
        <v>117</v>
      </c>
      <c r="C87" t="s">
        <v>188</v>
      </c>
      <c r="D87" t="s">
        <v>119</v>
      </c>
    </row>
    <row r="88" spans="1:4" x14ac:dyDescent="0.35">
      <c r="A88" t="s">
        <v>165</v>
      </c>
      <c r="B88" t="s">
        <v>117</v>
      </c>
      <c r="C88" t="s">
        <v>189</v>
      </c>
      <c r="D88" t="s">
        <v>119</v>
      </c>
    </row>
    <row r="89" spans="1:4" x14ac:dyDescent="0.35">
      <c r="A89" t="s">
        <v>166</v>
      </c>
      <c r="B89" t="s">
        <v>117</v>
      </c>
      <c r="C89" t="s">
        <v>190</v>
      </c>
      <c r="D89" t="s">
        <v>119</v>
      </c>
    </row>
    <row r="90" spans="1:4" x14ac:dyDescent="0.35">
      <c r="A90" t="s">
        <v>167</v>
      </c>
      <c r="B90" t="s">
        <v>117</v>
      </c>
      <c r="C90" t="s">
        <v>191</v>
      </c>
      <c r="D90" t="s">
        <v>119</v>
      </c>
    </row>
    <row r="91" spans="1:4" x14ac:dyDescent="0.35">
      <c r="A91" t="s">
        <v>192</v>
      </c>
      <c r="B91" t="s">
        <v>117</v>
      </c>
      <c r="C91" t="s">
        <v>193</v>
      </c>
      <c r="D91" t="s">
        <v>119</v>
      </c>
    </row>
    <row r="92" spans="1:4" x14ac:dyDescent="0.35">
      <c r="A92" t="s">
        <v>194</v>
      </c>
      <c r="B92" t="s">
        <v>117</v>
      </c>
      <c r="C92" t="s">
        <v>195</v>
      </c>
      <c r="D92" t="s">
        <v>119</v>
      </c>
    </row>
    <row r="93" spans="1:4" x14ac:dyDescent="0.35">
      <c r="A93" t="s">
        <v>196</v>
      </c>
      <c r="B93" t="s">
        <v>117</v>
      </c>
      <c r="C93" t="s">
        <v>197</v>
      </c>
      <c r="D93" t="s">
        <v>119</v>
      </c>
    </row>
    <row r="94" spans="1:4" x14ac:dyDescent="0.35">
      <c r="A94" t="s">
        <v>168</v>
      </c>
      <c r="B94" t="s">
        <v>125</v>
      </c>
      <c r="C94" t="s">
        <v>182</v>
      </c>
      <c r="D94" t="s">
        <v>119</v>
      </c>
    </row>
    <row r="95" spans="1:4" x14ac:dyDescent="0.35">
      <c r="A95" t="s">
        <v>169</v>
      </c>
      <c r="B95" t="s">
        <v>125</v>
      </c>
      <c r="C95" t="s">
        <v>183</v>
      </c>
      <c r="D95" t="s">
        <v>119</v>
      </c>
    </row>
    <row r="96" spans="1:4" x14ac:dyDescent="0.35">
      <c r="A96" t="s">
        <v>170</v>
      </c>
      <c r="B96" t="s">
        <v>125</v>
      </c>
      <c r="C96" t="s">
        <v>184</v>
      </c>
      <c r="D96" t="s">
        <v>119</v>
      </c>
    </row>
    <row r="97" spans="1:4" x14ac:dyDescent="0.35">
      <c r="A97" t="s">
        <v>171</v>
      </c>
      <c r="B97" t="s">
        <v>125</v>
      </c>
      <c r="C97" t="s">
        <v>198</v>
      </c>
      <c r="D97" t="s">
        <v>119</v>
      </c>
    </row>
    <row r="98" spans="1:4" x14ac:dyDescent="0.35">
      <c r="A98" t="s">
        <v>172</v>
      </c>
      <c r="B98" t="s">
        <v>125</v>
      </c>
      <c r="C98" t="s">
        <v>199</v>
      </c>
      <c r="D98" t="s">
        <v>119</v>
      </c>
    </row>
    <row r="99" spans="1:4" x14ac:dyDescent="0.35">
      <c r="A99" t="s">
        <v>173</v>
      </c>
      <c r="B99" t="s">
        <v>125</v>
      </c>
      <c r="C99" t="s">
        <v>200</v>
      </c>
      <c r="D99" t="s">
        <v>119</v>
      </c>
    </row>
    <row r="100" spans="1:4" x14ac:dyDescent="0.35">
      <c r="A100" t="s">
        <v>174</v>
      </c>
      <c r="B100" t="s">
        <v>125</v>
      </c>
      <c r="C100" t="s">
        <v>201</v>
      </c>
      <c r="D100" t="s">
        <v>119</v>
      </c>
    </row>
    <row r="101" spans="1:4" x14ac:dyDescent="0.35">
      <c r="A101" t="s">
        <v>175</v>
      </c>
      <c r="B101" t="s">
        <v>125</v>
      </c>
      <c r="C101" t="s">
        <v>202</v>
      </c>
      <c r="D101" t="s">
        <v>119</v>
      </c>
    </row>
    <row r="102" spans="1:4" x14ac:dyDescent="0.35">
      <c r="A102" t="s">
        <v>176</v>
      </c>
      <c r="B102" t="s">
        <v>125</v>
      </c>
      <c r="C102" t="s">
        <v>185</v>
      </c>
      <c r="D102" t="s">
        <v>119</v>
      </c>
    </row>
    <row r="103" spans="1:4" x14ac:dyDescent="0.35">
      <c r="A103" t="s">
        <v>177</v>
      </c>
      <c r="B103" t="s">
        <v>125</v>
      </c>
      <c r="C103" t="s">
        <v>203</v>
      </c>
      <c r="D103" t="s">
        <v>119</v>
      </c>
    </row>
    <row r="104" spans="1:4" x14ac:dyDescent="0.35">
      <c r="A104" t="s">
        <v>178</v>
      </c>
      <c r="B104" t="s">
        <v>125</v>
      </c>
      <c r="C104" t="s">
        <v>204</v>
      </c>
      <c r="D104" t="s">
        <v>119</v>
      </c>
    </row>
    <row r="105" spans="1:4" x14ac:dyDescent="0.35">
      <c r="A105" t="s">
        <v>179</v>
      </c>
      <c r="B105" t="s">
        <v>125</v>
      </c>
      <c r="C105" t="s">
        <v>205</v>
      </c>
      <c r="D105" t="s">
        <v>119</v>
      </c>
    </row>
    <row r="106" spans="1:4" x14ac:dyDescent="0.35">
      <c r="A106" t="s">
        <v>180</v>
      </c>
      <c r="B106" t="s">
        <v>125</v>
      </c>
      <c r="C106" t="s">
        <v>206</v>
      </c>
      <c r="D106" t="s">
        <v>119</v>
      </c>
    </row>
    <row r="107" spans="1:4" x14ac:dyDescent="0.35">
      <c r="A107" t="s">
        <v>207</v>
      </c>
      <c r="B107" t="s">
        <v>125</v>
      </c>
      <c r="C107" t="s">
        <v>208</v>
      </c>
      <c r="D107" t="s">
        <v>119</v>
      </c>
    </row>
    <row r="108" spans="1:4" x14ac:dyDescent="0.35">
      <c r="A108" t="s">
        <v>209</v>
      </c>
      <c r="B108" t="s">
        <v>125</v>
      </c>
      <c r="C108" t="s">
        <v>210</v>
      </c>
      <c r="D108" t="s">
        <v>119</v>
      </c>
    </row>
    <row r="109" spans="1:4" x14ac:dyDescent="0.35">
      <c r="A109" t="s">
        <v>211</v>
      </c>
      <c r="B109" t="s">
        <v>125</v>
      </c>
      <c r="C109" t="s">
        <v>212</v>
      </c>
      <c r="D109" t="s">
        <v>119</v>
      </c>
    </row>
    <row r="110" spans="1:4" x14ac:dyDescent="0.35">
      <c r="A110" t="s">
        <v>213</v>
      </c>
      <c r="B110" t="s">
        <v>125</v>
      </c>
      <c r="C110" t="s">
        <v>214</v>
      </c>
      <c r="D110" t="s">
        <v>119</v>
      </c>
    </row>
    <row r="111" spans="1:4" x14ac:dyDescent="0.35">
      <c r="A111" t="s">
        <v>215</v>
      </c>
      <c r="B111" t="s">
        <v>125</v>
      </c>
      <c r="C111" t="s">
        <v>216</v>
      </c>
      <c r="D111" t="s">
        <v>119</v>
      </c>
    </row>
    <row r="115" spans="1:6" x14ac:dyDescent="0.35">
      <c r="A115" t="s">
        <v>89</v>
      </c>
      <c r="B115" t="s">
        <v>217</v>
      </c>
      <c r="C115" t="s">
        <v>39</v>
      </c>
      <c r="D115" t="s">
        <v>218</v>
      </c>
      <c r="E115" t="s">
        <v>219</v>
      </c>
      <c r="F115" t="s">
        <v>114</v>
      </c>
    </row>
    <row r="116" spans="1:6" x14ac:dyDescent="0.35">
      <c r="A116" t="s">
        <v>220</v>
      </c>
      <c r="B116" t="s">
        <v>221</v>
      </c>
      <c r="C116" t="s">
        <v>222</v>
      </c>
      <c r="D116">
        <v>500</v>
      </c>
      <c r="E116" t="s">
        <v>119</v>
      </c>
      <c r="F116" t="s">
        <v>119</v>
      </c>
    </row>
    <row r="117" spans="1:6" x14ac:dyDescent="0.35">
      <c r="A117" t="s">
        <v>223</v>
      </c>
      <c r="B117" t="s">
        <v>221</v>
      </c>
      <c r="C117" t="s">
        <v>224</v>
      </c>
      <c r="E117" t="s">
        <v>118</v>
      </c>
      <c r="F117" t="s">
        <v>119</v>
      </c>
    </row>
    <row r="118" spans="1:6" x14ac:dyDescent="0.35">
      <c r="A118" t="s">
        <v>225</v>
      </c>
      <c r="B118" t="s">
        <v>226</v>
      </c>
      <c r="E118" t="s">
        <v>118</v>
      </c>
      <c r="F118" t="s">
        <v>119</v>
      </c>
    </row>
    <row r="119" spans="1:6" x14ac:dyDescent="0.35">
      <c r="A119" t="s">
        <v>227</v>
      </c>
      <c r="B119" t="s">
        <v>228</v>
      </c>
      <c r="E119" t="s">
        <v>118</v>
      </c>
      <c r="F119" t="s">
        <v>119</v>
      </c>
    </row>
    <row r="120" spans="1:6" x14ac:dyDescent="0.35">
      <c r="A120" t="s">
        <v>229</v>
      </c>
      <c r="B120" t="s">
        <v>230</v>
      </c>
      <c r="E120" t="s">
        <v>118</v>
      </c>
      <c r="F120" t="s">
        <v>119</v>
      </c>
    </row>
    <row r="121" spans="1:6" x14ac:dyDescent="0.35">
      <c r="A121" t="s">
        <v>231</v>
      </c>
      <c r="B121" t="s">
        <v>232</v>
      </c>
      <c r="E121" t="s">
        <v>118</v>
      </c>
      <c r="F121" t="s">
        <v>119</v>
      </c>
    </row>
    <row r="122" spans="1:6" x14ac:dyDescent="0.35">
      <c r="A122" t="s">
        <v>233</v>
      </c>
      <c r="B122" t="s">
        <v>234</v>
      </c>
      <c r="E122" t="s">
        <v>118</v>
      </c>
      <c r="F122" t="s">
        <v>119</v>
      </c>
    </row>
    <row r="125" spans="1:6" x14ac:dyDescent="0.35">
      <c r="A125" t="s">
        <v>89</v>
      </c>
      <c r="B125" t="s">
        <v>217</v>
      </c>
      <c r="C125" t="s">
        <v>39</v>
      </c>
      <c r="D125" t="s">
        <v>218</v>
      </c>
      <c r="E125" t="s">
        <v>219</v>
      </c>
      <c r="F125" t="s">
        <v>114</v>
      </c>
    </row>
    <row r="126" spans="1:6" x14ac:dyDescent="0.35">
      <c r="A126" t="s">
        <v>235</v>
      </c>
      <c r="B126" t="s">
        <v>236</v>
      </c>
      <c r="C126" t="s">
        <v>237</v>
      </c>
      <c r="D126">
        <v>275</v>
      </c>
      <c r="E126" t="s">
        <v>119</v>
      </c>
      <c r="F126" t="s">
        <v>119</v>
      </c>
    </row>
    <row r="127" spans="1:6" x14ac:dyDescent="0.35">
      <c r="A127" t="s">
        <v>238</v>
      </c>
      <c r="B127" t="s">
        <v>239</v>
      </c>
      <c r="E127" t="s">
        <v>118</v>
      </c>
      <c r="F127" t="s">
        <v>119</v>
      </c>
    </row>
    <row r="128" spans="1:6" x14ac:dyDescent="0.35">
      <c r="A128" t="s">
        <v>240</v>
      </c>
      <c r="B128" t="s">
        <v>221</v>
      </c>
      <c r="E128" t="s">
        <v>118</v>
      </c>
      <c r="F128" t="s">
        <v>119</v>
      </c>
    </row>
    <row r="129" spans="1:6" x14ac:dyDescent="0.35">
      <c r="A129" t="s">
        <v>241</v>
      </c>
      <c r="B129" t="s">
        <v>234</v>
      </c>
      <c r="E129" t="s">
        <v>118</v>
      </c>
      <c r="F129" t="s">
        <v>119</v>
      </c>
    </row>
    <row r="130" spans="1:6" x14ac:dyDescent="0.35">
      <c r="A130" t="s">
        <v>242</v>
      </c>
      <c r="B130" t="s">
        <v>243</v>
      </c>
      <c r="E130" t="s">
        <v>118</v>
      </c>
      <c r="F130" t="s">
        <v>119</v>
      </c>
    </row>
    <row r="134" spans="1:6" x14ac:dyDescent="0.35">
      <c r="A134" t="s">
        <v>102</v>
      </c>
      <c r="B134" t="s">
        <v>350</v>
      </c>
      <c r="C134" t="s">
        <v>114</v>
      </c>
    </row>
    <row r="135" spans="1:6" x14ac:dyDescent="0.35">
      <c r="A135" t="s">
        <v>351</v>
      </c>
      <c r="B135" t="s">
        <v>352</v>
      </c>
      <c r="C135" t="s">
        <v>119</v>
      </c>
    </row>
    <row r="136" spans="1:6" x14ac:dyDescent="0.35">
      <c r="A136" t="s">
        <v>353</v>
      </c>
      <c r="B136" t="s">
        <v>354</v>
      </c>
      <c r="C136" t="s">
        <v>119</v>
      </c>
    </row>
    <row r="137" spans="1:6" x14ac:dyDescent="0.35">
      <c r="A137" t="s">
        <v>355</v>
      </c>
      <c r="B137" t="s">
        <v>356</v>
      </c>
      <c r="C137" t="s">
        <v>119</v>
      </c>
    </row>
    <row r="142" spans="1:6" x14ac:dyDescent="0.35">
      <c r="A142" t="s">
        <v>398</v>
      </c>
      <c r="B142" t="s">
        <v>399</v>
      </c>
      <c r="C142" t="s">
        <v>400</v>
      </c>
      <c r="D142" t="s">
        <v>401</v>
      </c>
      <c r="E142" t="s">
        <v>402</v>
      </c>
      <c r="F142" t="s">
        <v>73</v>
      </c>
    </row>
    <row r="143" spans="1:6" x14ac:dyDescent="0.35">
      <c r="A143" t="s">
        <v>403</v>
      </c>
      <c r="B143">
        <v>1200</v>
      </c>
      <c r="C143">
        <v>1250</v>
      </c>
      <c r="D143">
        <v>4</v>
      </c>
      <c r="E143" t="s">
        <v>404</v>
      </c>
      <c r="F143" t="s">
        <v>405</v>
      </c>
    </row>
    <row r="144" spans="1:6" x14ac:dyDescent="0.35">
      <c r="A144" t="s">
        <v>406</v>
      </c>
      <c r="B144">
        <v>1251</v>
      </c>
      <c r="C144">
        <v>1320</v>
      </c>
      <c r="D144">
        <v>4</v>
      </c>
      <c r="E144" t="s">
        <v>407</v>
      </c>
      <c r="F144" t="s">
        <v>408</v>
      </c>
    </row>
    <row r="145" spans="1:7" x14ac:dyDescent="0.35">
      <c r="A145" t="s">
        <v>409</v>
      </c>
      <c r="B145">
        <v>1321</v>
      </c>
      <c r="C145">
        <v>1370</v>
      </c>
      <c r="D145">
        <v>4</v>
      </c>
      <c r="E145" t="s">
        <v>410</v>
      </c>
      <c r="F145" t="s">
        <v>411</v>
      </c>
    </row>
    <row r="146" spans="1:7" x14ac:dyDescent="0.35">
      <c r="A146" t="s">
        <v>412</v>
      </c>
      <c r="B146">
        <v>1371</v>
      </c>
      <c r="C146">
        <v>1450</v>
      </c>
      <c r="D146">
        <v>4</v>
      </c>
      <c r="E146" t="s">
        <v>413</v>
      </c>
      <c r="F146" t="s">
        <v>414</v>
      </c>
    </row>
    <row r="150" spans="1:7" x14ac:dyDescent="0.35">
      <c r="A150" t="s">
        <v>415</v>
      </c>
      <c r="B150" t="s">
        <v>416</v>
      </c>
      <c r="C150" t="s">
        <v>417</v>
      </c>
      <c r="D150" t="s">
        <v>418</v>
      </c>
    </row>
    <row r="151" spans="1:7" x14ac:dyDescent="0.35">
      <c r="A151" t="s">
        <v>419</v>
      </c>
      <c r="B151">
        <v>0</v>
      </c>
      <c r="C151">
        <v>500</v>
      </c>
      <c r="D151">
        <v>60000</v>
      </c>
    </row>
    <row r="152" spans="1:7" x14ac:dyDescent="0.35">
      <c r="A152" t="s">
        <v>420</v>
      </c>
      <c r="B152">
        <v>501</v>
      </c>
      <c r="C152">
        <v>800</v>
      </c>
      <c r="D152">
        <v>98000</v>
      </c>
    </row>
    <row r="153" spans="1:7" x14ac:dyDescent="0.35">
      <c r="A153" t="s">
        <v>421</v>
      </c>
      <c r="B153">
        <v>801</v>
      </c>
      <c r="C153">
        <v>1200</v>
      </c>
      <c r="D153">
        <v>140000</v>
      </c>
    </row>
    <row r="154" spans="1:7" x14ac:dyDescent="0.35">
      <c r="A154" t="s">
        <v>422</v>
      </c>
      <c r="B154">
        <v>1201</v>
      </c>
      <c r="C154">
        <v>1600</v>
      </c>
      <c r="D154">
        <v>180000</v>
      </c>
    </row>
    <row r="155" spans="1:7" x14ac:dyDescent="0.35">
      <c r="A155" t="s">
        <v>423</v>
      </c>
      <c r="B155">
        <v>1601</v>
      </c>
      <c r="C155">
        <v>2000</v>
      </c>
      <c r="D155">
        <v>220000</v>
      </c>
    </row>
    <row r="156" spans="1:7" x14ac:dyDescent="0.35">
      <c r="A156" t="s">
        <v>424</v>
      </c>
      <c r="B156">
        <v>2001</v>
      </c>
      <c r="C156">
        <v>3000</v>
      </c>
      <c r="D156">
        <v>300000</v>
      </c>
    </row>
    <row r="160" spans="1:7" x14ac:dyDescent="0.35">
      <c r="A160" t="s">
        <v>482</v>
      </c>
      <c r="B160" t="s">
        <v>483</v>
      </c>
      <c r="C160" t="s">
        <v>484</v>
      </c>
      <c r="D160" t="s">
        <v>48</v>
      </c>
      <c r="E160" t="s">
        <v>485</v>
      </c>
      <c r="F160" t="s">
        <v>486</v>
      </c>
      <c r="G160" t="s">
        <v>129</v>
      </c>
    </row>
    <row r="161" spans="1:7" x14ac:dyDescent="0.35">
      <c r="A161" t="s">
        <v>487</v>
      </c>
      <c r="B161" t="s">
        <v>454</v>
      </c>
      <c r="C161" t="s">
        <v>455</v>
      </c>
      <c r="D161" t="s">
        <v>120</v>
      </c>
      <c r="E161">
        <v>79500</v>
      </c>
      <c r="F161" s="12">
        <v>46300</v>
      </c>
      <c r="G161" t="s">
        <v>488</v>
      </c>
    </row>
    <row r="162" spans="1:7" x14ac:dyDescent="0.35">
      <c r="A162" t="s">
        <v>489</v>
      </c>
      <c r="B162" t="s">
        <v>461</v>
      </c>
      <c r="C162" t="s">
        <v>462</v>
      </c>
      <c r="D162" t="s">
        <v>120</v>
      </c>
      <c r="E162">
        <v>81000</v>
      </c>
      <c r="F162" s="12">
        <v>46218</v>
      </c>
      <c r="G162" t="s">
        <v>490</v>
      </c>
    </row>
    <row r="163" spans="1:7" x14ac:dyDescent="0.35">
      <c r="A163" t="s">
        <v>491</v>
      </c>
      <c r="B163" t="s">
        <v>466</v>
      </c>
      <c r="C163" t="s">
        <v>467</v>
      </c>
      <c r="D163" t="s">
        <v>120</v>
      </c>
      <c r="G163" t="s">
        <v>492</v>
      </c>
    </row>
    <row r="164" spans="1:7" x14ac:dyDescent="0.35">
      <c r="A164" t="s">
        <v>493</v>
      </c>
      <c r="B164" t="s">
        <v>472</v>
      </c>
      <c r="C164" t="s">
        <v>473</v>
      </c>
      <c r="D164" t="s">
        <v>120</v>
      </c>
      <c r="E164">
        <v>82500</v>
      </c>
      <c r="F164" s="12">
        <v>46277</v>
      </c>
      <c r="G164" t="s">
        <v>494</v>
      </c>
    </row>
  </sheetData>
  <pageMargins left="0.7" right="0.7" top="0.75" bottom="0.75" header="0.3" footer="0.3"/>
  <tableParts count="10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3"/>
  <sheetViews>
    <sheetView showGridLines="0" workbookViewId="0"/>
  </sheetViews>
  <sheetFormatPr defaultRowHeight="14.5" x14ac:dyDescent="0.35"/>
  <cols>
    <col min="1" max="1" width="28.7265625" customWidth="1"/>
    <col min="2" max="2" width="20.7265625" customWidth="1"/>
    <col min="3" max="3" width="14.7265625" customWidth="1"/>
    <col min="4" max="4" width="36.7265625" customWidth="1"/>
    <col min="5" max="5" width="20.7265625" customWidth="1"/>
    <col min="6" max="6" width="12.7265625" customWidth="1"/>
    <col min="7" max="7" width="18.7265625" customWidth="1"/>
  </cols>
  <sheetData>
    <row r="1" spans="1:7" ht="21" x14ac:dyDescent="0.5">
      <c r="A1" s="1" t="s">
        <v>244</v>
      </c>
    </row>
    <row r="3" spans="1:7" x14ac:dyDescent="0.35">
      <c r="A3" t="s">
        <v>106</v>
      </c>
      <c r="B3" t="s">
        <v>245</v>
      </c>
      <c r="C3" t="s">
        <v>246</v>
      </c>
      <c r="D3" t="s">
        <v>73</v>
      </c>
      <c r="E3" t="s">
        <v>247</v>
      </c>
      <c r="F3" t="s">
        <v>248</v>
      </c>
      <c r="G3" t="s">
        <v>249</v>
      </c>
    </row>
    <row r="4" spans="1:7" x14ac:dyDescent="0.35">
      <c r="A4" t="s">
        <v>250</v>
      </c>
      <c r="B4">
        <v>18</v>
      </c>
      <c r="C4" t="s">
        <v>251</v>
      </c>
      <c r="D4" t="s">
        <v>252</v>
      </c>
      <c r="E4">
        <v>18</v>
      </c>
      <c r="F4" t="s">
        <v>119</v>
      </c>
      <c r="G4" t="s">
        <v>67</v>
      </c>
    </row>
    <row r="5" spans="1:7" x14ac:dyDescent="0.35">
      <c r="A5" t="s">
        <v>253</v>
      </c>
      <c r="B5">
        <v>3.14</v>
      </c>
      <c r="C5" t="s">
        <v>251</v>
      </c>
      <c r="D5" t="s">
        <v>254</v>
      </c>
      <c r="E5">
        <v>3.14</v>
      </c>
      <c r="F5" t="s">
        <v>119</v>
      </c>
      <c r="G5" t="s">
        <v>67</v>
      </c>
    </row>
    <row r="6" spans="1:7" x14ac:dyDescent="0.35">
      <c r="A6" t="s">
        <v>255</v>
      </c>
      <c r="B6" t="s">
        <v>256</v>
      </c>
      <c r="C6" t="s">
        <v>257</v>
      </c>
      <c r="D6" t="s">
        <v>258</v>
      </c>
      <c r="E6" t="s">
        <v>256</v>
      </c>
      <c r="F6" t="s">
        <v>119</v>
      </c>
      <c r="G6" t="s">
        <v>259</v>
      </c>
    </row>
    <row r="7" spans="1:7" x14ac:dyDescent="0.35">
      <c r="A7" t="s">
        <v>260</v>
      </c>
      <c r="B7">
        <v>125.32</v>
      </c>
      <c r="C7" t="s">
        <v>251</v>
      </c>
      <c r="D7" t="s">
        <v>261</v>
      </c>
      <c r="E7">
        <v>125.32</v>
      </c>
      <c r="F7" t="s">
        <v>119</v>
      </c>
      <c r="G7" t="s">
        <v>259</v>
      </c>
    </row>
    <row r="8" spans="1:7" x14ac:dyDescent="0.35">
      <c r="A8" t="s">
        <v>262</v>
      </c>
      <c r="B8">
        <v>98000</v>
      </c>
      <c r="C8" t="s">
        <v>251</v>
      </c>
      <c r="D8" t="s">
        <v>263</v>
      </c>
      <c r="E8">
        <v>98000</v>
      </c>
      <c r="F8" t="s">
        <v>119</v>
      </c>
      <c r="G8" t="s">
        <v>259</v>
      </c>
    </row>
    <row r="9" spans="1:7" x14ac:dyDescent="0.35">
      <c r="A9" t="s">
        <v>264</v>
      </c>
      <c r="B9">
        <v>100</v>
      </c>
      <c r="C9" t="s">
        <v>251</v>
      </c>
      <c r="D9" t="s">
        <v>265</v>
      </c>
      <c r="E9">
        <v>100</v>
      </c>
      <c r="F9" t="s">
        <v>119</v>
      </c>
      <c r="G9" t="s">
        <v>259</v>
      </c>
    </row>
    <row r="10" spans="1:7" x14ac:dyDescent="0.35">
      <c r="A10" t="s">
        <v>266</v>
      </c>
      <c r="B10">
        <v>28</v>
      </c>
      <c r="C10" t="s">
        <v>251</v>
      </c>
      <c r="D10" t="s">
        <v>267</v>
      </c>
      <c r="E10">
        <v>28</v>
      </c>
      <c r="F10" t="s">
        <v>119</v>
      </c>
      <c r="G10" t="s">
        <v>259</v>
      </c>
    </row>
    <row r="11" spans="1:7" x14ac:dyDescent="0.35">
      <c r="A11" t="s">
        <v>268</v>
      </c>
      <c r="B11" t="s">
        <v>269</v>
      </c>
      <c r="C11" t="s">
        <v>257</v>
      </c>
      <c r="D11" t="s">
        <v>270</v>
      </c>
      <c r="E11" t="s">
        <v>269</v>
      </c>
      <c r="F11" t="s">
        <v>119</v>
      </c>
      <c r="G11" t="s">
        <v>259</v>
      </c>
    </row>
    <row r="12" spans="1:7" x14ac:dyDescent="0.35">
      <c r="A12" t="s">
        <v>271</v>
      </c>
      <c r="B12" t="s">
        <v>272</v>
      </c>
      <c r="C12" t="s">
        <v>257</v>
      </c>
      <c r="D12" t="s">
        <v>273</v>
      </c>
      <c r="E12" t="s">
        <v>272</v>
      </c>
      <c r="F12" t="s">
        <v>119</v>
      </c>
      <c r="G12" t="s">
        <v>259</v>
      </c>
    </row>
    <row r="13" spans="1:7" x14ac:dyDescent="0.35">
      <c r="A13" t="s">
        <v>274</v>
      </c>
      <c r="B13">
        <v>500</v>
      </c>
      <c r="C13" t="s">
        <v>251</v>
      </c>
      <c r="D13" t="s">
        <v>275</v>
      </c>
      <c r="E13">
        <v>500</v>
      </c>
      <c r="F13" t="s">
        <v>119</v>
      </c>
      <c r="G13" t="s">
        <v>276</v>
      </c>
    </row>
    <row r="14" spans="1:7" x14ac:dyDescent="0.35">
      <c r="A14" t="s">
        <v>277</v>
      </c>
      <c r="B14">
        <v>0</v>
      </c>
      <c r="C14" t="s">
        <v>251</v>
      </c>
      <c r="D14" t="s">
        <v>278</v>
      </c>
      <c r="E14">
        <v>0</v>
      </c>
      <c r="F14" t="s">
        <v>119</v>
      </c>
      <c r="G14" t="s">
        <v>67</v>
      </c>
    </row>
    <row r="15" spans="1:7" x14ac:dyDescent="0.35">
      <c r="A15" t="s">
        <v>279</v>
      </c>
      <c r="B15">
        <v>0</v>
      </c>
      <c r="C15" t="s">
        <v>251</v>
      </c>
      <c r="D15" t="s">
        <v>280</v>
      </c>
      <c r="E15">
        <v>0</v>
      </c>
      <c r="F15" t="s">
        <v>119</v>
      </c>
      <c r="G15" t="s">
        <v>259</v>
      </c>
    </row>
    <row r="16" spans="1:7" x14ac:dyDescent="0.35">
      <c r="A16" t="s">
        <v>281</v>
      </c>
      <c r="B16">
        <v>5</v>
      </c>
      <c r="C16" t="s">
        <v>282</v>
      </c>
      <c r="D16" t="s">
        <v>283</v>
      </c>
      <c r="E16">
        <v>5</v>
      </c>
      <c r="F16" t="s">
        <v>119</v>
      </c>
      <c r="G16" t="s">
        <v>284</v>
      </c>
    </row>
    <row r="17" spans="1:7" x14ac:dyDescent="0.35">
      <c r="A17" t="s">
        <v>285</v>
      </c>
      <c r="B17" t="s">
        <v>286</v>
      </c>
      <c r="C17" t="s">
        <v>257</v>
      </c>
      <c r="D17" t="s">
        <v>287</v>
      </c>
      <c r="E17" t="s">
        <v>286</v>
      </c>
      <c r="F17" t="s">
        <v>119</v>
      </c>
      <c r="G17" t="s">
        <v>67</v>
      </c>
    </row>
    <row r="18" spans="1:7" x14ac:dyDescent="0.35">
      <c r="A18" t="s">
        <v>288</v>
      </c>
      <c r="B18">
        <v>30</v>
      </c>
      <c r="C18" t="s">
        <v>282</v>
      </c>
      <c r="D18" t="s">
        <v>289</v>
      </c>
      <c r="E18">
        <v>30</v>
      </c>
      <c r="F18" t="s">
        <v>119</v>
      </c>
      <c r="G18" t="s">
        <v>290</v>
      </c>
    </row>
    <row r="19" spans="1:7" x14ac:dyDescent="0.35">
      <c r="A19" t="s">
        <v>291</v>
      </c>
      <c r="B19">
        <v>595</v>
      </c>
      <c r="C19" t="s">
        <v>282</v>
      </c>
      <c r="D19" t="s">
        <v>292</v>
      </c>
      <c r="E19">
        <v>595</v>
      </c>
      <c r="F19" t="s">
        <v>119</v>
      </c>
      <c r="G19" t="s">
        <v>293</v>
      </c>
    </row>
    <row r="20" spans="1:7" x14ac:dyDescent="0.35">
      <c r="A20" t="s">
        <v>294</v>
      </c>
      <c r="B20" t="s">
        <v>295</v>
      </c>
      <c r="C20" t="s">
        <v>257</v>
      </c>
      <c r="D20" t="s">
        <v>296</v>
      </c>
      <c r="E20" t="s">
        <v>295</v>
      </c>
      <c r="F20" t="s">
        <v>119</v>
      </c>
      <c r="G20" t="s">
        <v>14</v>
      </c>
    </row>
    <row r="21" spans="1:7" x14ac:dyDescent="0.35">
      <c r="A21" t="s">
        <v>297</v>
      </c>
      <c r="B21">
        <v>0</v>
      </c>
      <c r="C21" t="s">
        <v>251</v>
      </c>
      <c r="D21" t="s">
        <v>298</v>
      </c>
      <c r="E21">
        <v>0</v>
      </c>
      <c r="F21" t="s">
        <v>119</v>
      </c>
      <c r="G21" t="s">
        <v>259</v>
      </c>
    </row>
    <row r="22" spans="1:7" x14ac:dyDescent="0.35">
      <c r="A22" t="s">
        <v>299</v>
      </c>
      <c r="B22">
        <v>61000</v>
      </c>
      <c r="C22" t="s">
        <v>251</v>
      </c>
      <c r="D22" t="s">
        <v>300</v>
      </c>
      <c r="E22">
        <v>61000</v>
      </c>
      <c r="F22" t="s">
        <v>119</v>
      </c>
      <c r="G22" t="s">
        <v>67</v>
      </c>
    </row>
    <row r="23" spans="1:7" x14ac:dyDescent="0.35">
      <c r="A23" t="s">
        <v>301</v>
      </c>
      <c r="B23">
        <v>0</v>
      </c>
      <c r="C23" t="s">
        <v>251</v>
      </c>
      <c r="D23" t="s">
        <v>302</v>
      </c>
      <c r="E23">
        <v>0</v>
      </c>
      <c r="F23" t="s">
        <v>119</v>
      </c>
      <c r="G23" t="s">
        <v>67</v>
      </c>
    </row>
    <row r="24" spans="1:7" x14ac:dyDescent="0.35">
      <c r="A24" t="s">
        <v>303</v>
      </c>
      <c r="B24">
        <v>2</v>
      </c>
      <c r="C24" t="s">
        <v>251</v>
      </c>
      <c r="D24" t="s">
        <v>304</v>
      </c>
      <c r="E24">
        <v>2</v>
      </c>
      <c r="F24" t="s">
        <v>119</v>
      </c>
      <c r="G24" t="s">
        <v>67</v>
      </c>
    </row>
    <row r="25" spans="1:7" x14ac:dyDescent="0.35">
      <c r="A25" t="s">
        <v>305</v>
      </c>
      <c r="B25">
        <v>5000</v>
      </c>
      <c r="C25" t="s">
        <v>251</v>
      </c>
      <c r="D25" t="s">
        <v>306</v>
      </c>
      <c r="E25">
        <v>5000</v>
      </c>
      <c r="F25" t="s">
        <v>119</v>
      </c>
      <c r="G25" t="s">
        <v>67</v>
      </c>
    </row>
    <row r="26" spans="1:7" x14ac:dyDescent="0.35">
      <c r="A26" t="s">
        <v>307</v>
      </c>
      <c r="B26">
        <v>1.5</v>
      </c>
      <c r="C26" t="s">
        <v>251</v>
      </c>
      <c r="D26" t="s">
        <v>308</v>
      </c>
      <c r="E26">
        <v>1.5</v>
      </c>
      <c r="F26" t="s">
        <v>119</v>
      </c>
      <c r="G26" t="s">
        <v>67</v>
      </c>
    </row>
    <row r="27" spans="1:7" x14ac:dyDescent="0.35">
      <c r="A27" t="s">
        <v>309</v>
      </c>
      <c r="B27">
        <v>0</v>
      </c>
      <c r="C27" t="s">
        <v>251</v>
      </c>
      <c r="D27" t="s">
        <v>310</v>
      </c>
      <c r="E27">
        <v>0</v>
      </c>
      <c r="F27" t="s">
        <v>119</v>
      </c>
      <c r="G27" t="s">
        <v>67</v>
      </c>
    </row>
    <row r="28" spans="1:7" x14ac:dyDescent="0.35">
      <c r="A28" t="s">
        <v>311</v>
      </c>
      <c r="B28">
        <v>0</v>
      </c>
      <c r="C28" t="s">
        <v>251</v>
      </c>
      <c r="D28" t="s">
        <v>312</v>
      </c>
      <c r="E28">
        <v>0</v>
      </c>
      <c r="F28" t="s">
        <v>119</v>
      </c>
      <c r="G28" t="s">
        <v>67</v>
      </c>
    </row>
    <row r="29" spans="1:7" x14ac:dyDescent="0.35">
      <c r="A29" t="s">
        <v>313</v>
      </c>
      <c r="B29">
        <v>6</v>
      </c>
      <c r="C29" t="s">
        <v>251</v>
      </c>
      <c r="D29" t="s">
        <v>314</v>
      </c>
      <c r="E29">
        <v>6</v>
      </c>
      <c r="F29" t="s">
        <v>119</v>
      </c>
      <c r="G29" t="s">
        <v>315</v>
      </c>
    </row>
    <row r="30" spans="1:7" x14ac:dyDescent="0.35">
      <c r="A30" t="s">
        <v>316</v>
      </c>
      <c r="B30">
        <v>13</v>
      </c>
      <c r="C30" t="s">
        <v>251</v>
      </c>
      <c r="D30" t="s">
        <v>317</v>
      </c>
      <c r="E30">
        <v>13</v>
      </c>
      <c r="F30" t="s">
        <v>119</v>
      </c>
      <c r="G30" t="s">
        <v>315</v>
      </c>
    </row>
    <row r="32" spans="1:7" x14ac:dyDescent="0.35">
      <c r="A32" t="s">
        <v>376</v>
      </c>
      <c r="B32">
        <v>607</v>
      </c>
      <c r="C32" t="s">
        <v>282</v>
      </c>
      <c r="D32" t="s">
        <v>377</v>
      </c>
      <c r="F32" t="s">
        <v>118</v>
      </c>
      <c r="G32" t="s">
        <v>293</v>
      </c>
    </row>
    <row r="33" spans="1:4" x14ac:dyDescent="0.35">
      <c r="A33" t="s">
        <v>646</v>
      </c>
      <c r="B33" t="s">
        <v>654</v>
      </c>
      <c r="C33" t="s">
        <v>257</v>
      </c>
      <c r="D33" s="14" t="s">
        <v>655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3:O4"/>
  <sheetViews>
    <sheetView showGridLines="0" workbookViewId="0">
      <selection activeCell="B4" sqref="B4"/>
    </sheetView>
  </sheetViews>
  <sheetFormatPr defaultRowHeight="14.5" x14ac:dyDescent="0.35"/>
  <cols>
    <col min="1" max="15" width="20.7265625" customWidth="1"/>
  </cols>
  <sheetData>
    <row r="3" spans="1:15" x14ac:dyDescent="0.35">
      <c r="A3" t="s">
        <v>99</v>
      </c>
      <c r="B3" t="s">
        <v>318</v>
      </c>
      <c r="C3" t="s">
        <v>319</v>
      </c>
      <c r="D3" t="s">
        <v>320</v>
      </c>
      <c r="E3" t="s">
        <v>321</v>
      </c>
      <c r="F3" t="s">
        <v>322</v>
      </c>
      <c r="G3" t="s">
        <v>323</v>
      </c>
      <c r="H3" t="s">
        <v>324</v>
      </c>
      <c r="I3" t="s">
        <v>325</v>
      </c>
      <c r="J3" t="s">
        <v>326</v>
      </c>
      <c r="K3" t="s">
        <v>327</v>
      </c>
      <c r="L3" t="s">
        <v>328</v>
      </c>
      <c r="M3" t="s">
        <v>114</v>
      </c>
      <c r="N3" t="s">
        <v>329</v>
      </c>
      <c r="O3" t="s">
        <v>330</v>
      </c>
    </row>
    <row r="4" spans="1:15" x14ac:dyDescent="0.35">
      <c r="A4" t="s">
        <v>331</v>
      </c>
      <c r="B4" t="s">
        <v>332</v>
      </c>
      <c r="C4" t="s">
        <v>333</v>
      </c>
      <c r="F4" t="s">
        <v>334</v>
      </c>
      <c r="G4" t="s">
        <v>335</v>
      </c>
      <c r="H4" t="s">
        <v>336</v>
      </c>
      <c r="I4" t="s">
        <v>337</v>
      </c>
      <c r="J4" t="s">
        <v>338</v>
      </c>
      <c r="M4" t="s">
        <v>119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3:M20"/>
  <sheetViews>
    <sheetView showGridLines="0" workbookViewId="0"/>
  </sheetViews>
  <sheetFormatPr defaultRowHeight="14.5" x14ac:dyDescent="0.35"/>
  <cols>
    <col min="1" max="13" width="20.7265625" customWidth="1"/>
  </cols>
  <sheetData>
    <row r="3" spans="1:13" x14ac:dyDescent="0.35">
      <c r="A3" t="s">
        <v>65</v>
      </c>
      <c r="B3" t="s">
        <v>339</v>
      </c>
      <c r="C3" t="s">
        <v>340</v>
      </c>
      <c r="D3" t="s">
        <v>341</v>
      </c>
      <c r="E3" t="s">
        <v>322</v>
      </c>
      <c r="F3" t="s">
        <v>323</v>
      </c>
      <c r="G3" t="s">
        <v>324</v>
      </c>
      <c r="H3" t="s">
        <v>325</v>
      </c>
      <c r="I3" t="s">
        <v>326</v>
      </c>
      <c r="J3" t="s">
        <v>327</v>
      </c>
      <c r="K3" t="s">
        <v>328</v>
      </c>
      <c r="L3" t="s">
        <v>114</v>
      </c>
      <c r="M3" t="s">
        <v>129</v>
      </c>
    </row>
    <row r="4" spans="1:13" x14ac:dyDescent="0.35">
      <c r="A4" t="s">
        <v>115</v>
      </c>
      <c r="B4" t="s">
        <v>342</v>
      </c>
      <c r="C4" t="s">
        <v>343</v>
      </c>
      <c r="D4" t="s">
        <v>344</v>
      </c>
      <c r="F4" t="s">
        <v>345</v>
      </c>
      <c r="G4" t="s">
        <v>346</v>
      </c>
      <c r="H4" t="s">
        <v>337</v>
      </c>
      <c r="L4" t="s">
        <v>119</v>
      </c>
    </row>
    <row r="5" spans="1:13" x14ac:dyDescent="0.35">
      <c r="A5" t="s">
        <v>120</v>
      </c>
      <c r="B5" t="s">
        <v>347</v>
      </c>
      <c r="C5" t="s">
        <v>343</v>
      </c>
      <c r="D5" t="s">
        <v>344</v>
      </c>
      <c r="F5" t="s">
        <v>348</v>
      </c>
      <c r="G5" t="s">
        <v>349</v>
      </c>
      <c r="H5" t="s">
        <v>337</v>
      </c>
      <c r="L5" t="s">
        <v>119</v>
      </c>
    </row>
    <row r="7" spans="1:13" x14ac:dyDescent="0.35">
      <c r="A7" t="s">
        <v>454</v>
      </c>
      <c r="B7" t="s">
        <v>455</v>
      </c>
      <c r="C7" t="s">
        <v>456</v>
      </c>
      <c r="D7" t="s">
        <v>457</v>
      </c>
      <c r="E7" t="s">
        <v>458</v>
      </c>
      <c r="F7" t="s">
        <v>459</v>
      </c>
      <c r="G7" t="s">
        <v>460</v>
      </c>
      <c r="H7" t="s">
        <v>337</v>
      </c>
      <c r="I7">
        <v>770019</v>
      </c>
      <c r="L7" t="s">
        <v>119</v>
      </c>
    </row>
    <row r="8" spans="1:13" x14ac:dyDescent="0.35">
      <c r="A8" t="s">
        <v>461</v>
      </c>
      <c r="B8" t="s">
        <v>462</v>
      </c>
      <c r="C8" t="s">
        <v>456</v>
      </c>
      <c r="D8" t="s">
        <v>463</v>
      </c>
      <c r="E8" t="s">
        <v>464</v>
      </c>
      <c r="F8" t="s">
        <v>465</v>
      </c>
      <c r="G8" t="s">
        <v>346</v>
      </c>
      <c r="H8" t="s">
        <v>337</v>
      </c>
      <c r="L8" t="s">
        <v>119</v>
      </c>
    </row>
    <row r="9" spans="1:13" x14ac:dyDescent="0.35">
      <c r="A9" t="s">
        <v>466</v>
      </c>
      <c r="B9" t="s">
        <v>467</v>
      </c>
      <c r="C9" t="s">
        <v>456</v>
      </c>
      <c r="D9" t="s">
        <v>468</v>
      </c>
      <c r="E9" t="s">
        <v>469</v>
      </c>
      <c r="F9" t="s">
        <v>470</v>
      </c>
      <c r="G9" t="s">
        <v>471</v>
      </c>
      <c r="H9" t="s">
        <v>337</v>
      </c>
      <c r="L9" t="s">
        <v>119</v>
      </c>
    </row>
    <row r="10" spans="1:13" x14ac:dyDescent="0.35">
      <c r="A10" t="s">
        <v>472</v>
      </c>
      <c r="B10" t="s">
        <v>473</v>
      </c>
      <c r="C10" t="s">
        <v>456</v>
      </c>
      <c r="D10" t="s">
        <v>474</v>
      </c>
      <c r="E10" t="s">
        <v>475</v>
      </c>
      <c r="F10" t="s">
        <v>476</v>
      </c>
      <c r="G10" t="s">
        <v>477</v>
      </c>
      <c r="H10" t="s">
        <v>337</v>
      </c>
      <c r="I10">
        <v>583152</v>
      </c>
      <c r="L10" t="s">
        <v>119</v>
      </c>
    </row>
    <row r="14" spans="1:13" x14ac:dyDescent="0.35">
      <c r="A14" t="s">
        <v>425</v>
      </c>
      <c r="B14" t="s">
        <v>65</v>
      </c>
      <c r="C14" t="s">
        <v>48</v>
      </c>
      <c r="D14" t="s">
        <v>36</v>
      </c>
      <c r="E14" t="s">
        <v>114</v>
      </c>
    </row>
    <row r="15" spans="1:13" x14ac:dyDescent="0.35">
      <c r="A15" t="s">
        <v>426</v>
      </c>
      <c r="B15" t="s">
        <v>115</v>
      </c>
      <c r="C15" t="s">
        <v>115</v>
      </c>
      <c r="D15" t="s">
        <v>117</v>
      </c>
      <c r="E15" t="s">
        <v>119</v>
      </c>
    </row>
    <row r="16" spans="1:13" x14ac:dyDescent="0.35">
      <c r="A16" t="s">
        <v>427</v>
      </c>
      <c r="B16" t="s">
        <v>115</v>
      </c>
      <c r="C16" t="s">
        <v>120</v>
      </c>
      <c r="D16" t="s">
        <v>117</v>
      </c>
      <c r="E16" t="s">
        <v>119</v>
      </c>
    </row>
    <row r="17" spans="1:5" x14ac:dyDescent="0.35">
      <c r="A17" t="s">
        <v>428</v>
      </c>
      <c r="B17" t="s">
        <v>120</v>
      </c>
      <c r="C17" t="s">
        <v>115</v>
      </c>
      <c r="D17" t="s">
        <v>117</v>
      </c>
      <c r="E17" t="s">
        <v>119</v>
      </c>
    </row>
    <row r="18" spans="1:5" x14ac:dyDescent="0.35">
      <c r="A18" t="s">
        <v>429</v>
      </c>
      <c r="B18" t="s">
        <v>120</v>
      </c>
      <c r="C18" t="s">
        <v>120</v>
      </c>
      <c r="D18" t="s">
        <v>117</v>
      </c>
      <c r="E18" t="s">
        <v>119</v>
      </c>
    </row>
    <row r="19" spans="1:5" x14ac:dyDescent="0.35">
      <c r="A19" t="s">
        <v>430</v>
      </c>
      <c r="B19" t="s">
        <v>120</v>
      </c>
      <c r="C19" t="s">
        <v>123</v>
      </c>
      <c r="D19" t="s">
        <v>125</v>
      </c>
      <c r="E19" t="s">
        <v>119</v>
      </c>
    </row>
    <row r="20" spans="1:5" x14ac:dyDescent="0.35">
      <c r="A20" t="s">
        <v>431</v>
      </c>
      <c r="B20" t="s">
        <v>120</v>
      </c>
      <c r="C20" t="s">
        <v>126</v>
      </c>
      <c r="D20" t="s">
        <v>125</v>
      </c>
      <c r="E20" t="s">
        <v>119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3:L11"/>
  <sheetViews>
    <sheetView showGridLines="0" workbookViewId="0"/>
  </sheetViews>
  <sheetFormatPr defaultRowHeight="14.5" x14ac:dyDescent="0.35"/>
  <cols>
    <col min="1" max="12" width="20.7265625" customWidth="1"/>
  </cols>
  <sheetData>
    <row r="3" spans="1:12" x14ac:dyDescent="0.35">
      <c r="A3" t="s">
        <v>357</v>
      </c>
      <c r="B3" t="s">
        <v>358</v>
      </c>
      <c r="C3" t="s">
        <v>65</v>
      </c>
      <c r="D3" t="s">
        <v>359</v>
      </c>
      <c r="E3" t="s">
        <v>360</v>
      </c>
      <c r="F3" t="s">
        <v>361</v>
      </c>
      <c r="G3" t="s">
        <v>362</v>
      </c>
      <c r="H3" t="s">
        <v>363</v>
      </c>
      <c r="I3" t="s">
        <v>364</v>
      </c>
      <c r="J3" t="s">
        <v>365</v>
      </c>
      <c r="K3" t="s">
        <v>366</v>
      </c>
      <c r="L3" t="s">
        <v>66</v>
      </c>
    </row>
    <row r="4" spans="1:12" x14ac:dyDescent="0.35">
      <c r="A4" t="s">
        <v>432</v>
      </c>
      <c r="B4" t="s">
        <v>295</v>
      </c>
      <c r="C4" t="s">
        <v>115</v>
      </c>
      <c r="D4">
        <v>825322</v>
      </c>
      <c r="G4">
        <v>782</v>
      </c>
      <c r="H4">
        <v>900</v>
      </c>
      <c r="I4" t="s">
        <v>433</v>
      </c>
      <c r="J4" s="12">
        <v>46280</v>
      </c>
      <c r="K4" s="12">
        <v>46645</v>
      </c>
      <c r="L4" t="s">
        <v>397</v>
      </c>
    </row>
    <row r="5" spans="1:12" x14ac:dyDescent="0.35">
      <c r="A5" t="s">
        <v>434</v>
      </c>
      <c r="B5" t="s">
        <v>295</v>
      </c>
      <c r="C5" t="s">
        <v>120</v>
      </c>
      <c r="D5">
        <v>825322</v>
      </c>
      <c r="G5">
        <v>1821</v>
      </c>
      <c r="H5">
        <v>2100</v>
      </c>
      <c r="I5" t="s">
        <v>433</v>
      </c>
      <c r="J5" s="12">
        <v>46280</v>
      </c>
      <c r="K5" s="12">
        <v>46645</v>
      </c>
      <c r="L5" t="s">
        <v>397</v>
      </c>
    </row>
    <row r="6" spans="1:12" x14ac:dyDescent="0.35">
      <c r="A6" t="s">
        <v>449</v>
      </c>
      <c r="B6" t="s">
        <v>295</v>
      </c>
      <c r="C6" t="s">
        <v>115</v>
      </c>
      <c r="D6">
        <v>110001</v>
      </c>
      <c r="E6">
        <v>28.613900000000001</v>
      </c>
      <c r="F6">
        <v>77.209000000000003</v>
      </c>
      <c r="G6">
        <v>850.5</v>
      </c>
      <c r="H6">
        <v>960</v>
      </c>
      <c r="I6" t="s">
        <v>450</v>
      </c>
      <c r="J6" s="12">
        <v>46308</v>
      </c>
      <c r="K6" s="12">
        <v>46673</v>
      </c>
      <c r="L6" t="s">
        <v>397</v>
      </c>
    </row>
    <row r="7" spans="1:12" x14ac:dyDescent="0.35">
      <c r="A7" t="s">
        <v>451</v>
      </c>
      <c r="B7" t="s">
        <v>295</v>
      </c>
      <c r="C7" t="s">
        <v>120</v>
      </c>
      <c r="D7">
        <v>999999</v>
      </c>
      <c r="G7">
        <v>1234.5</v>
      </c>
      <c r="H7">
        <v>0</v>
      </c>
      <c r="I7" t="s">
        <v>452</v>
      </c>
      <c r="J7" s="12">
        <v>46308</v>
      </c>
      <c r="K7" s="12">
        <v>46673</v>
      </c>
      <c r="L7" t="s">
        <v>397</v>
      </c>
    </row>
    <row r="8" spans="1:12" x14ac:dyDescent="0.35">
      <c r="A8" t="s">
        <v>478</v>
      </c>
      <c r="B8" t="s">
        <v>295</v>
      </c>
      <c r="C8" t="s">
        <v>454</v>
      </c>
      <c r="D8">
        <v>825322</v>
      </c>
      <c r="G8">
        <v>403</v>
      </c>
      <c r="H8">
        <v>480</v>
      </c>
      <c r="I8" t="s">
        <v>433</v>
      </c>
      <c r="J8" s="12">
        <v>46280</v>
      </c>
      <c r="K8" s="12">
        <v>46645</v>
      </c>
      <c r="L8" t="s">
        <v>397</v>
      </c>
    </row>
    <row r="9" spans="1:12" x14ac:dyDescent="0.35">
      <c r="A9" t="s">
        <v>479</v>
      </c>
      <c r="B9" t="s">
        <v>295</v>
      </c>
      <c r="C9" t="s">
        <v>461</v>
      </c>
      <c r="D9">
        <v>825322</v>
      </c>
      <c r="G9">
        <v>1019</v>
      </c>
      <c r="H9">
        <v>1200</v>
      </c>
      <c r="I9" t="s">
        <v>433</v>
      </c>
      <c r="J9" s="12">
        <v>46280</v>
      </c>
      <c r="K9" s="12">
        <v>46645</v>
      </c>
      <c r="L9" t="s">
        <v>397</v>
      </c>
    </row>
    <row r="10" spans="1:12" x14ac:dyDescent="0.35">
      <c r="A10" t="s">
        <v>480</v>
      </c>
      <c r="B10" t="s">
        <v>295</v>
      </c>
      <c r="C10" t="s">
        <v>466</v>
      </c>
      <c r="D10">
        <v>825322</v>
      </c>
      <c r="G10">
        <v>1973</v>
      </c>
      <c r="H10">
        <v>2300</v>
      </c>
      <c r="I10" t="s">
        <v>433</v>
      </c>
      <c r="J10" s="12">
        <v>46280</v>
      </c>
      <c r="K10" s="12">
        <v>46645</v>
      </c>
      <c r="L10" t="s">
        <v>397</v>
      </c>
    </row>
    <row r="11" spans="1:12" x14ac:dyDescent="0.35">
      <c r="A11" t="s">
        <v>481</v>
      </c>
      <c r="B11" t="s">
        <v>295</v>
      </c>
      <c r="C11" t="s">
        <v>472</v>
      </c>
      <c r="D11">
        <v>825322</v>
      </c>
      <c r="G11">
        <v>1833</v>
      </c>
      <c r="H11">
        <v>2200</v>
      </c>
      <c r="I11" t="s">
        <v>433</v>
      </c>
      <c r="J11" s="12">
        <v>46280</v>
      </c>
      <c r="K11" s="12">
        <v>46645</v>
      </c>
      <c r="L11" t="s">
        <v>397</v>
      </c>
    </row>
  </sheetData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3:J25"/>
  <sheetViews>
    <sheetView showGridLines="0" workbookViewId="0"/>
  </sheetViews>
  <sheetFormatPr defaultRowHeight="14.5" x14ac:dyDescent="0.35"/>
  <cols>
    <col min="1" max="10" width="20.7265625" customWidth="1"/>
  </cols>
  <sheetData>
    <row r="3" spans="1:10" x14ac:dyDescent="0.35">
      <c r="A3" t="s">
        <v>367</v>
      </c>
      <c r="B3" t="s">
        <v>47</v>
      </c>
      <c r="C3" t="s">
        <v>368</v>
      </c>
      <c r="D3" t="s">
        <v>369</v>
      </c>
      <c r="E3" t="s">
        <v>370</v>
      </c>
      <c r="F3" t="s">
        <v>371</v>
      </c>
      <c r="G3" t="s">
        <v>372</v>
      </c>
      <c r="H3" t="s">
        <v>373</v>
      </c>
      <c r="I3" t="s">
        <v>66</v>
      </c>
      <c r="J3" t="s">
        <v>129</v>
      </c>
    </row>
    <row r="6" spans="1:10" x14ac:dyDescent="0.35">
      <c r="A6" t="s">
        <v>436</v>
      </c>
      <c r="B6" t="s">
        <v>437</v>
      </c>
      <c r="C6" s="14">
        <v>46308.385949074072</v>
      </c>
      <c r="D6" t="s">
        <v>438</v>
      </c>
      <c r="E6" t="s">
        <v>439</v>
      </c>
      <c r="F6" t="s">
        <v>115</v>
      </c>
      <c r="G6" t="s">
        <v>120</v>
      </c>
      <c r="H6" t="s">
        <v>440</v>
      </c>
      <c r="I6" t="s">
        <v>441</v>
      </c>
      <c r="J6" t="s">
        <v>442</v>
      </c>
    </row>
    <row r="7" spans="1:10" x14ac:dyDescent="0.35">
      <c r="A7" t="s">
        <v>453</v>
      </c>
      <c r="B7" t="s">
        <v>437</v>
      </c>
      <c r="C7" s="14">
        <v>46308.389780092592</v>
      </c>
      <c r="D7" t="s">
        <v>438</v>
      </c>
      <c r="E7" t="s">
        <v>439</v>
      </c>
      <c r="F7" t="s">
        <v>115</v>
      </c>
      <c r="G7" t="s">
        <v>120</v>
      </c>
      <c r="H7" t="s">
        <v>440</v>
      </c>
      <c r="I7" t="s">
        <v>441</v>
      </c>
      <c r="J7" t="s">
        <v>442</v>
      </c>
    </row>
    <row r="8" spans="1:10" x14ac:dyDescent="0.35">
      <c r="A8" t="s">
        <v>510</v>
      </c>
      <c r="B8" t="s">
        <v>437</v>
      </c>
      <c r="C8" s="14">
        <v>46308.393182870372</v>
      </c>
      <c r="D8" t="s">
        <v>438</v>
      </c>
      <c r="E8" t="s">
        <v>439</v>
      </c>
      <c r="F8" t="s">
        <v>115</v>
      </c>
      <c r="G8" t="s">
        <v>120</v>
      </c>
      <c r="H8" t="s">
        <v>440</v>
      </c>
      <c r="I8" t="s">
        <v>441</v>
      </c>
      <c r="J8" t="s">
        <v>442</v>
      </c>
    </row>
    <row r="9" spans="1:10" x14ac:dyDescent="0.35">
      <c r="A9" t="s">
        <v>548</v>
      </c>
      <c r="B9" t="s">
        <v>437</v>
      </c>
      <c r="C9" s="14">
        <v>46308.426192129627</v>
      </c>
      <c r="D9" t="s">
        <v>438</v>
      </c>
      <c r="E9" t="s">
        <v>439</v>
      </c>
      <c r="F9" t="s">
        <v>115</v>
      </c>
      <c r="G9" t="s">
        <v>120</v>
      </c>
      <c r="H9" t="s">
        <v>440</v>
      </c>
      <c r="I9" t="s">
        <v>441</v>
      </c>
      <c r="J9" t="s">
        <v>442</v>
      </c>
    </row>
    <row r="10" spans="1:10" x14ac:dyDescent="0.35">
      <c r="A10" t="s">
        <v>624</v>
      </c>
      <c r="B10" t="s">
        <v>437</v>
      </c>
      <c r="C10" s="14">
        <v>46308.430185185185</v>
      </c>
      <c r="D10" t="s">
        <v>438</v>
      </c>
      <c r="E10" t="s">
        <v>439</v>
      </c>
      <c r="F10" t="s">
        <v>115</v>
      </c>
      <c r="G10" t="s">
        <v>120</v>
      </c>
      <c r="H10" t="s">
        <v>440</v>
      </c>
      <c r="I10" t="s">
        <v>441</v>
      </c>
      <c r="J10" t="s">
        <v>442</v>
      </c>
    </row>
    <row r="11" spans="1:10" x14ac:dyDescent="0.35">
      <c r="A11" t="s">
        <v>625</v>
      </c>
      <c r="B11" t="s">
        <v>437</v>
      </c>
      <c r="C11" s="14">
        <v>46308.432557870372</v>
      </c>
      <c r="D11" t="s">
        <v>438</v>
      </c>
      <c r="E11" t="s">
        <v>439</v>
      </c>
      <c r="F11" t="s">
        <v>115</v>
      </c>
      <c r="G11" t="s">
        <v>120</v>
      </c>
      <c r="H11" t="s">
        <v>440</v>
      </c>
      <c r="I11" t="s">
        <v>441</v>
      </c>
      <c r="J11" t="s">
        <v>442</v>
      </c>
    </row>
    <row r="12" spans="1:10" x14ac:dyDescent="0.35">
      <c r="A12" t="s">
        <v>626</v>
      </c>
      <c r="B12" t="s">
        <v>437</v>
      </c>
      <c r="C12" s="14">
        <v>46308.432928240742</v>
      </c>
      <c r="D12" t="s">
        <v>438</v>
      </c>
      <c r="E12" t="s">
        <v>439</v>
      </c>
      <c r="F12" t="s">
        <v>115</v>
      </c>
      <c r="G12" t="s">
        <v>120</v>
      </c>
      <c r="H12" t="s">
        <v>440</v>
      </c>
      <c r="I12" t="s">
        <v>441</v>
      </c>
      <c r="J12" t="s">
        <v>442</v>
      </c>
    </row>
    <row r="13" spans="1:10" x14ac:dyDescent="0.35">
      <c r="A13" t="s">
        <v>627</v>
      </c>
      <c r="B13" t="s">
        <v>378</v>
      </c>
      <c r="C13" s="14">
        <v>46308.436412037037</v>
      </c>
      <c r="D13" t="s">
        <v>438</v>
      </c>
      <c r="E13" t="s">
        <v>628</v>
      </c>
      <c r="G13">
        <v>178801050</v>
      </c>
      <c r="H13" t="s">
        <v>440</v>
      </c>
      <c r="I13" t="s">
        <v>629</v>
      </c>
      <c r="J13" t="s">
        <v>630</v>
      </c>
    </row>
    <row r="14" spans="1:10" x14ac:dyDescent="0.35">
      <c r="A14" t="s">
        <v>631</v>
      </c>
      <c r="B14" t="s">
        <v>378</v>
      </c>
      <c r="C14" s="14">
        <v>46308.436423611114</v>
      </c>
      <c r="D14" t="s">
        <v>438</v>
      </c>
      <c r="E14" t="s">
        <v>632</v>
      </c>
      <c r="G14">
        <v>178801050</v>
      </c>
      <c r="H14" t="s">
        <v>440</v>
      </c>
      <c r="I14" t="s">
        <v>633</v>
      </c>
      <c r="J14" t="s">
        <v>634</v>
      </c>
    </row>
    <row r="15" spans="1:10" x14ac:dyDescent="0.35">
      <c r="A15" t="s">
        <v>635</v>
      </c>
      <c r="B15" t="s">
        <v>378</v>
      </c>
      <c r="C15" s="14">
        <v>46308.436435185184</v>
      </c>
      <c r="D15" t="s">
        <v>438</v>
      </c>
      <c r="E15" t="s">
        <v>628</v>
      </c>
      <c r="G15">
        <v>178801050</v>
      </c>
      <c r="H15" t="s">
        <v>440</v>
      </c>
      <c r="I15" t="s">
        <v>629</v>
      </c>
      <c r="J15" t="s">
        <v>636</v>
      </c>
    </row>
    <row r="16" spans="1:10" x14ac:dyDescent="0.35">
      <c r="A16" t="s">
        <v>637</v>
      </c>
      <c r="B16" t="s">
        <v>437</v>
      </c>
      <c r="C16" s="14">
        <v>46308.43644675926</v>
      </c>
      <c r="D16" t="s">
        <v>438</v>
      </c>
      <c r="E16" t="s">
        <v>439</v>
      </c>
      <c r="F16" t="s">
        <v>115</v>
      </c>
      <c r="G16" t="s">
        <v>120</v>
      </c>
      <c r="H16" t="s">
        <v>440</v>
      </c>
      <c r="I16" t="s">
        <v>441</v>
      </c>
      <c r="J16" t="s">
        <v>442</v>
      </c>
    </row>
    <row r="17" spans="1:10" x14ac:dyDescent="0.35">
      <c r="A17" t="s">
        <v>638</v>
      </c>
      <c r="B17" t="s">
        <v>437</v>
      </c>
      <c r="C17" s="14">
        <v>46308.443530092591</v>
      </c>
      <c r="D17" t="s">
        <v>438</v>
      </c>
      <c r="E17" t="s">
        <v>439</v>
      </c>
      <c r="F17" t="s">
        <v>115</v>
      </c>
      <c r="G17" t="s">
        <v>120</v>
      </c>
      <c r="H17" t="s">
        <v>440</v>
      </c>
      <c r="I17" t="s">
        <v>441</v>
      </c>
      <c r="J17" t="s">
        <v>442</v>
      </c>
    </row>
    <row r="18" spans="1:10" x14ac:dyDescent="0.35">
      <c r="A18" t="s">
        <v>639</v>
      </c>
      <c r="B18" t="s">
        <v>640</v>
      </c>
      <c r="C18" s="14">
        <v>46308.443553240744</v>
      </c>
      <c r="D18" t="s">
        <v>438</v>
      </c>
      <c r="E18" t="s">
        <v>628</v>
      </c>
      <c r="G18">
        <v>178801050</v>
      </c>
      <c r="H18" t="s">
        <v>440</v>
      </c>
      <c r="I18" t="s">
        <v>629</v>
      </c>
      <c r="J18" t="s">
        <v>641</v>
      </c>
    </row>
    <row r="19" spans="1:10" x14ac:dyDescent="0.35">
      <c r="A19" t="s">
        <v>642</v>
      </c>
      <c r="B19" t="s">
        <v>640</v>
      </c>
      <c r="C19" s="14">
        <v>46308.443564814814</v>
      </c>
      <c r="D19" t="s">
        <v>438</v>
      </c>
      <c r="E19" t="s">
        <v>632</v>
      </c>
      <c r="G19">
        <v>178801050</v>
      </c>
      <c r="H19" t="s">
        <v>440</v>
      </c>
      <c r="I19" t="s">
        <v>633</v>
      </c>
      <c r="J19" t="s">
        <v>643</v>
      </c>
    </row>
    <row r="20" spans="1:10" x14ac:dyDescent="0.35">
      <c r="A20" t="s">
        <v>644</v>
      </c>
      <c r="B20" t="s">
        <v>640</v>
      </c>
      <c r="C20" s="14">
        <v>46308.443564814814</v>
      </c>
      <c r="D20" t="s">
        <v>438</v>
      </c>
      <c r="E20" t="s">
        <v>628</v>
      </c>
      <c r="G20">
        <v>178801050</v>
      </c>
      <c r="H20" t="s">
        <v>440</v>
      </c>
      <c r="I20" t="s">
        <v>629</v>
      </c>
      <c r="J20" t="s">
        <v>645</v>
      </c>
    </row>
    <row r="21" spans="1:10" x14ac:dyDescent="0.35">
      <c r="A21" t="s">
        <v>648</v>
      </c>
      <c r="B21" t="s">
        <v>649</v>
      </c>
      <c r="C21" s="14">
        <v>46308.446747685186</v>
      </c>
      <c r="D21" t="s">
        <v>438</v>
      </c>
      <c r="E21" t="s">
        <v>650</v>
      </c>
      <c r="G21" t="s">
        <v>647</v>
      </c>
      <c r="H21" t="s">
        <v>651</v>
      </c>
      <c r="I21" t="s">
        <v>652</v>
      </c>
      <c r="J21" t="s">
        <v>653</v>
      </c>
    </row>
    <row r="22" spans="1:10" x14ac:dyDescent="0.35">
      <c r="A22" t="s">
        <v>656</v>
      </c>
      <c r="B22" t="s">
        <v>437</v>
      </c>
      <c r="C22" s="14">
        <v>46308.446747685186</v>
      </c>
      <c r="D22" t="s">
        <v>438</v>
      </c>
      <c r="E22" t="s">
        <v>439</v>
      </c>
      <c r="F22" t="s">
        <v>115</v>
      </c>
      <c r="G22" t="s">
        <v>120</v>
      </c>
      <c r="H22" t="s">
        <v>440</v>
      </c>
      <c r="I22" t="s">
        <v>441</v>
      </c>
      <c r="J22" t="s">
        <v>442</v>
      </c>
    </row>
    <row r="23" spans="1:10" x14ac:dyDescent="0.35">
      <c r="A23" t="s">
        <v>657</v>
      </c>
      <c r="B23" t="s">
        <v>640</v>
      </c>
      <c r="C23" s="14">
        <v>46308.446770833332</v>
      </c>
      <c r="D23" t="s">
        <v>438</v>
      </c>
      <c r="E23" t="s">
        <v>628</v>
      </c>
      <c r="G23">
        <v>178801050</v>
      </c>
      <c r="H23" t="s">
        <v>440</v>
      </c>
      <c r="I23" t="s">
        <v>629</v>
      </c>
      <c r="J23" t="s">
        <v>641</v>
      </c>
    </row>
    <row r="24" spans="1:10" x14ac:dyDescent="0.35">
      <c r="A24" t="s">
        <v>658</v>
      </c>
      <c r="B24" t="s">
        <v>640</v>
      </c>
      <c r="C24" s="14">
        <v>46308.446793981479</v>
      </c>
      <c r="D24" t="s">
        <v>438</v>
      </c>
      <c r="E24" t="s">
        <v>632</v>
      </c>
      <c r="G24">
        <v>178801050</v>
      </c>
      <c r="H24" t="s">
        <v>440</v>
      </c>
      <c r="I24" t="s">
        <v>633</v>
      </c>
      <c r="J24" t="s">
        <v>643</v>
      </c>
    </row>
    <row r="25" spans="1:10" x14ac:dyDescent="0.35">
      <c r="A25" t="s">
        <v>659</v>
      </c>
      <c r="B25" t="s">
        <v>640</v>
      </c>
      <c r="C25" s="14">
        <v>46308.446793981479</v>
      </c>
      <c r="D25" t="s">
        <v>438</v>
      </c>
      <c r="E25" t="s">
        <v>628</v>
      </c>
      <c r="G25">
        <v>178801050</v>
      </c>
      <c r="H25" t="s">
        <v>440</v>
      </c>
      <c r="I25" t="s">
        <v>629</v>
      </c>
      <c r="J25" t="s">
        <v>645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COMPARE</vt:lpstr>
      <vt:lpstr>START</vt:lpstr>
      <vt:lpstr>QUOTE</vt:lpstr>
      <vt:lpstr>QUOTE_LINES</vt:lpstr>
      <vt:lpstr>COSTING</vt:lpstr>
      <vt:lpstr>OFFER</vt:lpstr>
      <vt:lpstr>MASTERS</vt:lpstr>
      <vt:lpstr>SETTINGS</vt:lpstr>
      <vt:lpstr>CUSTOMERS</vt:lpstr>
      <vt:lpstr>PLANTS</vt:lpstr>
      <vt:lpstr>DISTANCE_CACHE</vt:lpstr>
      <vt:lpstr>QUOTE_LOG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Mega Pipes Quotation System - Development Workbook</dc:title>
  <dc:subject>Master data and quotation architecture</dc:subject>
  <dc:creator>Mega Pipes</dc:creator>
  <cp:lastModifiedBy>Mega-Group  Marketing</cp:lastModifiedBy>
  <dcterms:created xsi:type="dcterms:W3CDTF">2026-10-07T09:48:02Z</dcterms:created>
  <dcterms:modified xsi:type="dcterms:W3CDTF">2026-10-13T05:13:23Z</dcterms:modified>
</cp:coreProperties>
</file>