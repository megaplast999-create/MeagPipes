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Tender_Input_&amp;_Geometry" sheetId="2" state="visible" r:id="rId2"/>
    <sheet name="CostSheet_Normal_Mode" sheetId="3" state="visible" r:id="rId3"/>
    <sheet name="CostSheet_Legacy_Mode" sheetId="4" state="visible" r:id="rId4"/>
    <sheet name="Variance_Reconciliation" sheetId="5" state="visible" r:id="rId5"/>
    <sheet name="Formal_Commercial_Off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"/>
    <numFmt numFmtId="165" formatCode="#,##0.000"/>
    <numFmt numFmtId="166" formatCode="₹#,##0;[Red]-₹#,##0;&quot;₹0&quot;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b val="1"/>
      <color rgb="00FFFFFF"/>
      <sz val="12"/>
    </font>
    <font>
      <name val="Calibri"/>
      <b val="1"/>
      <color rgb="00274E13"/>
      <sz val="11"/>
    </font>
    <font>
      <name val="Calibri"/>
      <b val="1"/>
      <color rgb="00274E13"/>
      <sz val="12"/>
    </font>
    <font>
      <name val="Calibri"/>
      <b val="1"/>
      <color rgb="00C00000"/>
      <sz val="11"/>
    </font>
    <font>
      <name val="Calibri"/>
      <b val="1"/>
      <color rgb="00C00000"/>
      <sz val="10"/>
    </font>
    <font>
      <name val="Calibri"/>
      <b val="1"/>
      <color rgb="001F4E78"/>
      <sz val="11"/>
    </font>
    <font>
      <name val="Calibri"/>
      <b val="1"/>
      <color rgb="00595959"/>
      <sz val="11"/>
    </font>
    <font>
      <name val="Calibri"/>
      <b val="1"/>
      <color rgb="001F4E78"/>
      <sz val="18"/>
    </font>
    <font>
      <name val="Calibri"/>
      <i val="1"/>
      <color rgb="00595959"/>
      <sz val="10"/>
    </font>
    <font>
      <name val="Calibri"/>
      <b val="1"/>
      <color rgb="00000000"/>
      <sz val="14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9E1F2"/>
        <bgColor rgb="00D9E1F2"/>
      </patternFill>
    </fill>
    <fill>
      <patternFill patternType="solid">
        <fgColor rgb="00595959"/>
        <bgColor rgb="00595959"/>
      </patternFill>
    </fill>
    <fill>
      <patternFill patternType="solid">
        <fgColor rgb="00D9D9D9"/>
        <bgColor rgb="00D9D9D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595959"/>
      </top>
      <bottom style="double">
        <color rgb="00595959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5" fillId="4" borderId="1" pivotButton="0" quotePrefix="0" xfId="0"/>
    <xf numFmtId="0" fontId="4" fillId="0" borderId="1" pivotButton="0" quotePrefix="0" xfId="0"/>
    <xf numFmtId="4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6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7" fillId="5" borderId="2" pivotButton="0" quotePrefix="0" xfId="0"/>
    <xf numFmtId="3" fontId="7" fillId="5" borderId="2" applyAlignment="1" pivotButton="0" quotePrefix="0" xfId="0">
      <alignment horizontal="right" vertical="center"/>
    </xf>
    <xf numFmtId="165" fontId="7" fillId="5" borderId="2" applyAlignment="1" pivotButton="0" quotePrefix="0" xfId="0">
      <alignment horizontal="right" vertical="center"/>
    </xf>
    <xf numFmtId="0" fontId="7" fillId="5" borderId="2" applyAlignment="1" pivotButton="0" quotePrefix="0" xfId="0">
      <alignment horizontal="right" vertical="center"/>
    </xf>
    <xf numFmtId="164" fontId="7" fillId="5" borderId="2" applyAlignment="1" pivotButton="0" quotePrefix="0" xfId="0">
      <alignment horizontal="right" vertical="center"/>
    </xf>
    <xf numFmtId="0" fontId="7" fillId="5" borderId="1" pivotButton="0" quotePrefix="0" xfId="0"/>
    <xf numFmtId="164" fontId="7" fillId="5" borderId="1" applyAlignment="1" pivotButton="0" quotePrefix="0" xfId="0">
      <alignment horizontal="right" vertical="center"/>
    </xf>
    <xf numFmtId="0" fontId="8" fillId="5" borderId="2" pivotButton="0" quotePrefix="0" xfId="0"/>
    <xf numFmtId="164" fontId="8" fillId="5" borderId="2" applyAlignment="1" pivotButton="0" quotePrefix="0" xfId="0">
      <alignment horizontal="right" vertical="center"/>
    </xf>
    <xf numFmtId="0" fontId="5" fillId="0" borderId="0" pivotButton="0" quotePrefix="0" xfId="0"/>
    <xf numFmtId="0" fontId="4" fillId="0" borderId="0" pivotButton="0" quotePrefix="0" xfId="0"/>
    <xf numFmtId="0" fontId="7" fillId="5" borderId="2" applyAlignment="1" pivotButton="0" quotePrefix="0" xfId="0">
      <alignment horizontal="center" vertical="center"/>
    </xf>
    <xf numFmtId="4" fontId="7" fillId="5" borderId="2" applyAlignment="1" pivotButton="0" quotePrefix="0" xfId="0">
      <alignment horizontal="right" vertical="center"/>
    </xf>
    <xf numFmtId="0" fontId="9" fillId="6" borderId="1" applyAlignment="1" pivotButton="0" quotePrefix="0" xfId="0">
      <alignment horizontal="center" vertical="center"/>
    </xf>
    <xf numFmtId="3" fontId="9" fillId="6" borderId="1" applyAlignment="1" pivotButton="0" quotePrefix="0" xfId="0">
      <alignment horizontal="right" vertical="center"/>
    </xf>
    <xf numFmtId="165" fontId="9" fillId="6" borderId="1" applyAlignment="1" pivotButton="0" quotePrefix="0" xfId="0">
      <alignment horizontal="right" vertical="center"/>
    </xf>
    <xf numFmtId="0" fontId="10" fillId="6" borderId="0" applyAlignment="1" pivotButton="0" quotePrefix="0" xfId="0">
      <alignment vertical="top" wrapText="1"/>
    </xf>
    <xf numFmtId="0" fontId="11" fillId="7" borderId="1" pivotButton="0" quotePrefix="0" xfId="0"/>
    <xf numFmtId="0" fontId="4" fillId="0" borderId="1" applyAlignment="1" pivotButton="0" quotePrefix="0" xfId="0">
      <alignment horizontal="left" vertical="center"/>
    </xf>
    <xf numFmtId="0" fontId="1" fillId="8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12" fillId="9" borderId="1" pivotButton="0" quotePrefix="0" xfId="0"/>
    <xf numFmtId="166" fontId="4" fillId="0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166" fontId="7" fillId="5" borderId="1" applyAlignment="1" pivotButton="0" quotePrefix="0" xfId="0">
      <alignment horizontal="right" vertical="center"/>
    </xf>
    <xf numFmtId="0" fontId="7" fillId="5" borderId="2" applyAlignment="1" pivotButton="0" quotePrefix="0" xfId="0">
      <alignment horizontal="left" vertical="center"/>
    </xf>
    <xf numFmtId="166" fontId="7" fillId="5" borderId="2" applyAlignment="1" pivotButton="0" quotePrefix="0" xfId="0">
      <alignment horizontal="right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7" borderId="0" applyAlignment="1" pivotButton="0" quotePrefix="0" xfId="0">
      <alignment horizontal="center" vertical="center"/>
    </xf>
    <xf numFmtId="0" fontId="11" fillId="0" borderId="0" pivotButton="0" quotePrefix="0" xfId="0"/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workbookViewId="0">
      <selection activeCell="A1" sqref="A1"/>
    </sheetView>
  </sheetViews>
  <sheetFormatPr baseColWidth="8" defaultRowHeight="15" outlineLevelCol="0"/>
  <cols>
    <col width="45" customWidth="1" min="1" max="1"/>
    <col width="45" customWidth="1" min="2" max="2"/>
    <col width="12" customWidth="1" min="3" max="3"/>
    <col width="32" customWidth="1" min="4" max="4"/>
    <col width="26" customWidth="1" min="5" max="5"/>
    <col width="27" customWidth="1" min="6" max="6"/>
    <col width="27" customWidth="1" min="7" max="7"/>
  </cols>
  <sheetData>
    <row r="1" ht="40" customHeight="1">
      <c r="A1" s="1" t="inlineStr">
        <is>
          <t>MEGA PIPES PRIVATE LIMITED — COMMERCIAL QUOTATION SUMMARY</t>
        </is>
      </c>
    </row>
    <row r="2" ht="22" customHeight="1">
      <c r="A2" s="2" t="inlineStr">
        <is>
          <t>Enquiry: MKTG/ENQ/26-27/594 | Project: Konar, Jharkhand Project | Customer: Unipro Techno Infrastructure Pvt. Ltd</t>
        </is>
      </c>
    </row>
    <row r="3"/>
    <row r="4" ht="28" customHeight="1">
      <c r="A4" s="3" t="inlineStr">
        <is>
          <t>Project Attribute</t>
        </is>
      </c>
      <c r="B4" s="3" t="inlineStr">
        <is>
          <t>Value</t>
        </is>
      </c>
      <c r="C4" s="3" t="inlineStr"/>
      <c r="D4" s="3" t="inlineStr">
        <is>
          <t>Key Operational Metric</t>
        </is>
      </c>
      <c r="E4" s="3" t="inlineStr">
        <is>
          <t>Normal Mode (Automated)</t>
        </is>
      </c>
      <c r="F4" s="3" t="inlineStr">
        <is>
          <t>Legacy Mode (Manual Ref)</t>
        </is>
      </c>
      <c r="G4" s="3" t="inlineStr">
        <is>
          <t>Variance</t>
        </is>
      </c>
    </row>
    <row r="5" ht="20" customHeight="1">
      <c r="A5" s="4" t="inlineStr">
        <is>
          <t>Enquiry Reference</t>
        </is>
      </c>
      <c r="B5" s="5" t="inlineStr">
        <is>
          <t>MKTG/ENQ/26-27/594</t>
        </is>
      </c>
      <c r="C5" s="5" t="inlineStr"/>
      <c r="D5" s="4" t="inlineStr">
        <is>
          <t>Total Pipe Length (MTR)</t>
        </is>
      </c>
      <c r="E5" s="6" t="n">
        <v>7250</v>
      </c>
      <c r="F5" s="6" t="n">
        <v>7250</v>
      </c>
      <c r="G5" s="7" t="n">
        <v>0</v>
      </c>
    </row>
    <row r="6" ht="20" customHeight="1">
      <c r="A6" s="4" t="inlineStr">
        <is>
          <t>Enquiry Received Date</t>
        </is>
      </c>
      <c r="B6" s="5" t="inlineStr">
        <is>
          <t>09.09.2026</t>
        </is>
      </c>
      <c r="C6" s="5" t="inlineStr"/>
      <c r="D6" s="4" t="inlineStr">
        <is>
          <t>Total Pipe Count (12m joints)</t>
        </is>
      </c>
      <c r="E6" s="6" t="n">
        <v>606</v>
      </c>
      <c r="F6" s="6" t="n">
        <v>606</v>
      </c>
      <c r="G6" s="7" t="n">
        <v>0</v>
      </c>
    </row>
    <row r="7" ht="20" customHeight="1">
      <c r="A7" s="4" t="inlineStr">
        <is>
          <t>Customer Name</t>
        </is>
      </c>
      <c r="B7" s="5" t="inlineStr">
        <is>
          <t>Unipro Techno Infrastructure Pvt. Ltd</t>
        </is>
      </c>
      <c r="C7" s="5" t="inlineStr"/>
      <c r="D7" s="4" t="inlineStr">
        <is>
          <t>Total Tonnage (MT)</t>
        </is>
      </c>
      <c r="E7" s="6" t="n">
        <v>2031.036</v>
      </c>
      <c r="F7" s="6" t="n">
        <v>2031.036</v>
      </c>
      <c r="G7" s="7" t="n">
        <v>0</v>
      </c>
    </row>
    <row r="8" ht="20" customHeight="1">
      <c r="A8" s="4" t="inlineStr">
        <is>
          <t>Key Contact Person</t>
        </is>
      </c>
      <c r="B8" s="5" t="inlineStr">
        <is>
          <t>Rakesh Gupta</t>
        </is>
      </c>
      <c r="C8" s="5" t="inlineStr"/>
      <c r="D8" s="4" t="inlineStr">
        <is>
          <t>Logistics Flatbed Trailers</t>
        </is>
      </c>
      <c r="E8" s="6" t="n">
        <v>153</v>
      </c>
      <c r="F8" s="6" t="n">
        <v>151.04</v>
      </c>
      <c r="G8" s="7" t="inlineStr">
        <is>
          <t>+1.96 Trailers</t>
        </is>
      </c>
    </row>
    <row r="9" ht="20" customHeight="1">
      <c r="A9" s="4" t="inlineStr">
        <is>
          <t>Place of Delivery</t>
        </is>
      </c>
      <c r="B9" s="5" t="inlineStr">
        <is>
          <t>Krishna Nagar, Bagodar, Jharkhand - 825322</t>
        </is>
      </c>
      <c r="C9" s="5" t="inlineStr"/>
      <c r="D9" s="4" t="inlineStr">
        <is>
          <t>Supplying Plant</t>
        </is>
      </c>
      <c r="E9" s="8" t="inlineStr">
        <is>
          <t>P01 Jabalpur (782 km)</t>
        </is>
      </c>
      <c r="F9" s="8" t="inlineStr">
        <is>
          <t>P01 Jabalpur (782 km)</t>
        </is>
      </c>
      <c r="G9" s="7" t="inlineStr">
        <is>
          <t>Optimal (Match)</t>
        </is>
      </c>
    </row>
    <row r="10" ht="20" customHeight="1">
      <c r="A10" s="4" t="inlineStr">
        <is>
          <t>Pipe Construction / Spec</t>
        </is>
      </c>
      <c r="B10" s="5" t="inlineStr">
        <is>
          <t>HSAW Coated / IS-3589-2001 Fe 410</t>
        </is>
      </c>
      <c r="C10" s="5" t="inlineStr"/>
      <c r="D10" s="4" t="inlineStr">
        <is>
          <t>Road Freight / Trailer</t>
        </is>
      </c>
      <c r="E10" s="6" t="n">
        <v>98000.24000000001</v>
      </c>
      <c r="F10" s="6" t="n">
        <v>98000</v>
      </c>
      <c r="G10" s="7" t="inlineStr">
        <is>
          <t>+₹0.24</t>
        </is>
      </c>
    </row>
    <row r="11" ht="20" customHeight="1">
      <c r="A11" s="4" t="inlineStr">
        <is>
          <t>External Coating Spec</t>
        </is>
      </c>
      <c r="B11" s="5" t="inlineStr">
        <is>
          <t>PU 1000 Micron (IS 16719 / 10221)</t>
        </is>
      </c>
      <c r="C11" s="5" t="inlineStr"/>
      <c r="D11" s="4" t="inlineStr">
        <is>
          <t>Subtotal Excl. GST (INR)</t>
        </is>
      </c>
      <c r="E11" s="9" t="n">
        <v>178801050</v>
      </c>
      <c r="F11" s="9" t="n">
        <v>178657900</v>
      </c>
      <c r="G11" s="7" t="inlineStr">
        <is>
          <t>+₹143,150 (+0.08%)</t>
        </is>
      </c>
    </row>
    <row r="12" ht="20" customHeight="1">
      <c r="A12" s="4" t="inlineStr">
        <is>
          <t>Internal Lining Spec</t>
        </is>
      </c>
      <c r="B12" s="5" t="inlineStr">
        <is>
          <t>Food Grade Epoxy 406 Micron</t>
        </is>
      </c>
      <c r="C12" s="5" t="inlineStr"/>
      <c r="D12" s="4" t="inlineStr">
        <is>
          <t>GST Amount @ 18% (INR)</t>
        </is>
      </c>
      <c r="E12" s="9" t="n">
        <v>32184189</v>
      </c>
      <c r="F12" s="9" t="n">
        <v>32158422</v>
      </c>
      <c r="G12" s="7" t="inlineStr">
        <is>
          <t>+₹25,767</t>
        </is>
      </c>
    </row>
    <row r="13" ht="20" customHeight="1">
      <c r="A13" s="4" t="inlineStr">
        <is>
          <t>Commercial Offer Reference</t>
        </is>
      </c>
      <c r="B13" s="5" t="inlineStr">
        <is>
          <t>MEGA/OFFER/26-27/594</t>
        </is>
      </c>
      <c r="C13" s="5" t="inlineStr"/>
      <c r="D13" s="4" t="inlineStr">
        <is>
          <t>Grand Total Incl. GST (INR)</t>
        </is>
      </c>
      <c r="E13" s="9" t="n">
        <v>210985239</v>
      </c>
      <c r="F13" s="9" t="n">
        <v>210816322</v>
      </c>
      <c r="G13" s="7" t="inlineStr">
        <is>
          <t>+₹168,917</t>
        </is>
      </c>
    </row>
    <row r="14" ht="20" customHeight="1">
      <c r="A14" s="4" t="inlineStr">
        <is>
          <t>Payment Terms</t>
        </is>
      </c>
      <c r="B14" s="5" t="inlineStr">
        <is>
          <t>25% Advance, Balance against LC</t>
        </is>
      </c>
      <c r="C14" s="5" t="inlineStr"/>
      <c r="D14" s="4" t="inlineStr">
        <is>
          <t>Average Unit Price / Metre</t>
        </is>
      </c>
      <c r="E14" s="6" t="n">
        <v>24662.21</v>
      </c>
      <c r="F14" s="6" t="n">
        <v>24642.47</v>
      </c>
      <c r="G14" s="7" t="inlineStr">
        <is>
          <t>+₹19.74 / m</t>
        </is>
      </c>
    </row>
    <row r="15" ht="20" customHeight="1">
      <c r="A15" s="4" t="inlineStr">
        <is>
          <t>Offer Validity</t>
        </is>
      </c>
      <c r="B15" s="5" t="inlineStr">
        <is>
          <t>5 Days (Approved MPPL Policy)</t>
        </is>
      </c>
      <c r="C15" s="5" t="inlineStr"/>
      <c r="D15" s="4" t="inlineStr">
        <is>
          <t>Average Delivered Price / MT</t>
        </is>
      </c>
      <c r="E15" s="6" t="n">
        <v>88034.42</v>
      </c>
      <c r="F15" s="6" t="n">
        <v>87963.92999999999</v>
      </c>
      <c r="G15" s="7" t="inlineStr">
        <is>
          <t>+₹70.49 / MT</t>
        </is>
      </c>
    </row>
    <row r="16"/>
    <row r="17" ht="26" customHeight="1">
      <c r="A17" s="10" t="inlineStr">
        <is>
          <t>LINE-BY-LINE DELIVERED COMMERCIAL QUOTATION (NORMAL MODE APPROVED)</t>
        </is>
      </c>
    </row>
    <row r="18" ht="24" customHeight="1">
      <c r="A18" s="11" t="inlineStr">
        <is>
          <t>Line No</t>
        </is>
      </c>
      <c r="B18" s="11" t="inlineStr">
        <is>
          <t>Pipe Size &amp; Dimension</t>
        </is>
      </c>
      <c r="C18" s="11" t="inlineStr">
        <is>
          <t>Wall Thk</t>
        </is>
      </c>
      <c r="D18" s="11" t="inlineStr">
        <is>
          <t>Length (m)</t>
        </is>
      </c>
      <c r="E18" s="11" t="inlineStr">
        <is>
          <t>Weight (MT)</t>
        </is>
      </c>
      <c r="F18" s="11" t="inlineStr">
        <is>
          <t>Delivered Rate (₹/m)</t>
        </is>
      </c>
      <c r="G18" s="11" t="inlineStr">
        <is>
          <t>Total Value Excl GST (₹)</t>
        </is>
      </c>
    </row>
    <row r="19" ht="22" customHeight="1">
      <c r="A19" s="12" t="n">
        <v>1</v>
      </c>
      <c r="B19" s="5" t="inlineStr">
        <is>
          <t>1226mm ID (OD 1243mm / 49") Fe 410 HSAW Coated</t>
        </is>
      </c>
      <c r="C19" s="5" t="inlineStr">
        <is>
          <t>8.4 mm</t>
        </is>
      </c>
      <c r="D19" s="13" t="n">
        <v>2000</v>
      </c>
      <c r="E19" s="14" t="n">
        <v>511.511</v>
      </c>
      <c r="F19" s="9" t="n">
        <v>22689</v>
      </c>
      <c r="G19" s="9" t="n">
        <v>45378000</v>
      </c>
    </row>
    <row r="20" ht="22" customHeight="1">
      <c r="A20" s="12" t="n">
        <v>2</v>
      </c>
      <c r="B20" s="5" t="inlineStr">
        <is>
          <t>1300mm ID (OD 1317mm / 52") Fe 410 HSAW Coated</t>
        </is>
      </c>
      <c r="C20" s="5" t="inlineStr">
        <is>
          <t>8.4 mm</t>
        </is>
      </c>
      <c r="D20" s="13" t="n">
        <v>350</v>
      </c>
      <c r="E20" s="14" t="n">
        <v>94.88</v>
      </c>
      <c r="F20" s="9" t="n">
        <v>24109</v>
      </c>
      <c r="G20" s="9" t="n">
        <v>8438150</v>
      </c>
    </row>
    <row r="21" ht="22" customHeight="1">
      <c r="A21" s="12" t="n">
        <v>3</v>
      </c>
      <c r="B21" s="5" t="inlineStr">
        <is>
          <t>1350mm ID (OD 1367mm / 54") Fe 410 HSAW Coated</t>
        </is>
      </c>
      <c r="C21" s="5" t="inlineStr">
        <is>
          <t>8.4 mm</t>
        </is>
      </c>
      <c r="D21" s="13" t="n">
        <v>500</v>
      </c>
      <c r="E21" s="14" t="n">
        <v>140.721</v>
      </c>
      <c r="F21" s="9" t="n">
        <v>24857</v>
      </c>
      <c r="G21" s="9" t="n">
        <v>12428500</v>
      </c>
    </row>
    <row r="22" ht="22" customHeight="1">
      <c r="A22" s="12" t="n">
        <v>4</v>
      </c>
      <c r="B22" s="5" t="inlineStr">
        <is>
          <t>1400mm ID (OD 1417mm / 56") Fe 410 HSAW Coated</t>
        </is>
      </c>
      <c r="C22" s="5" t="inlineStr">
        <is>
          <t>8.4 mm</t>
        </is>
      </c>
      <c r="D22" s="13" t="n">
        <v>4400</v>
      </c>
      <c r="E22" s="14" t="n">
        <v>1283.923</v>
      </c>
      <c r="F22" s="9" t="n">
        <v>25581</v>
      </c>
      <c r="G22" s="9" t="n">
        <v>112556400</v>
      </c>
    </row>
    <row r="23" ht="24" customHeight="1">
      <c r="A23" s="15" t="inlineStr">
        <is>
          <t>TOTAL</t>
        </is>
      </c>
      <c r="B23" s="15" t="inlineStr">
        <is>
          <t>7,250 Metres (606 Pipes)</t>
        </is>
      </c>
      <c r="C23" s="15" t="inlineStr"/>
      <c r="D23" s="16">
        <f>SUM(D18:D21)</f>
        <v/>
      </c>
      <c r="E23" s="17">
        <f>SUM(E18:E21)</f>
        <v/>
      </c>
      <c r="F23" s="18" t="inlineStr">
        <is>
          <t>₹24,662.21 (Wtd Avg)</t>
        </is>
      </c>
      <c r="G23" s="19">
        <f>SUM(G18:G21)</f>
        <v/>
      </c>
    </row>
    <row r="24" ht="22" customHeight="1">
      <c r="A24" t="inlineStr"/>
      <c r="B24" t="inlineStr"/>
      <c r="C24" t="inlineStr"/>
      <c r="D24" t="inlineStr"/>
      <c r="E24" t="inlineStr"/>
      <c r="F24" s="20" t="inlineStr">
        <is>
          <t>GST @ 18%:</t>
        </is>
      </c>
      <c r="G24" s="21">
        <f>G22*0.18</f>
        <v/>
      </c>
    </row>
    <row r="25" ht="25" customHeight="1">
      <c r="A25" t="inlineStr"/>
      <c r="B25" t="inlineStr"/>
      <c r="C25" t="inlineStr"/>
      <c r="D25" t="inlineStr"/>
      <c r="E25" t="inlineStr"/>
      <c r="F25" s="22" t="inlineStr">
        <is>
          <t>GRAND TOTAL (INCL. GST):</t>
        </is>
      </c>
      <c r="G25" s="23">
        <f>G22+G23</f>
        <v/>
      </c>
    </row>
  </sheetData>
  <mergeCells count="3">
    <mergeCell ref="A2:G2"/>
    <mergeCell ref="A1:G1"/>
    <mergeCell ref="A17:G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"/>
  <sheetViews>
    <sheetView showGridLines="1" workbookViewId="0">
      <selection activeCell="A1" sqref="A1"/>
    </sheetView>
  </sheetViews>
  <sheetFormatPr baseColWidth="8" defaultRowHeight="15" outlineLevelCol="0"/>
  <cols>
    <col width="45" customWidth="1" min="1" max="1"/>
    <col width="40" customWidth="1" min="2" max="2"/>
    <col width="12" customWidth="1" min="3" max="3"/>
    <col width="12" customWidth="1" min="4" max="4"/>
    <col width="12" customWidth="1" min="5" max="5"/>
    <col width="22" customWidth="1" min="6" max="6"/>
    <col width="14" customWidth="1" min="7" max="7"/>
    <col width="20" customWidth="1" min="8" max="8"/>
    <col width="45" customWidth="1" min="9" max="9"/>
    <col width="17" customWidth="1" min="10" max="10"/>
    <col width="16" customWidth="1" min="11" max="11"/>
    <col width="14" customWidth="1" min="12" max="12"/>
    <col width="12" customWidth="1" min="13" max="13"/>
    <col width="19" customWidth="1" min="14" max="14"/>
    <col width="19" customWidth="1" min="15" max="15"/>
    <col width="19" customWidth="1" min="16" max="16"/>
  </cols>
  <sheetData>
    <row r="1" ht="35" customHeight="1">
      <c r="A1" s="1" t="inlineStr">
        <is>
          <t>SYNOPSIS — SOURCE TENDER INPUTS, VERIFIED GEOMETRY &amp; FORMULA AUDIT</t>
        </is>
      </c>
    </row>
    <row r="2"/>
    <row r="3" ht="20" customHeight="1">
      <c r="A3" s="24" t="inlineStr">
        <is>
          <t>NIT / Project</t>
        </is>
      </c>
      <c r="B3" s="25" t="inlineStr">
        <is>
          <t>Konar, Jharkhand Project</t>
        </is>
      </c>
      <c r="H3" s="24" t="inlineStr">
        <is>
          <t>Enquiry Date</t>
        </is>
      </c>
      <c r="I3" s="25" t="inlineStr">
        <is>
          <t>09.09.2026</t>
        </is>
      </c>
    </row>
    <row r="4" ht="20" customHeight="1">
      <c r="A4" s="24" t="inlineStr">
        <is>
          <t>Our Ref</t>
        </is>
      </c>
      <c r="B4" s="25" t="inlineStr">
        <is>
          <t>MKTG/ENQ/26-27/594</t>
        </is>
      </c>
      <c r="H4" s="24" t="inlineStr">
        <is>
          <t>Pipe Type</t>
        </is>
      </c>
      <c r="I4" s="25" t="inlineStr">
        <is>
          <t>HSAW Coated</t>
        </is>
      </c>
    </row>
    <row r="5" ht="20" customHeight="1">
      <c r="A5" s="24" t="inlineStr">
        <is>
          <t>Customer</t>
        </is>
      </c>
      <c r="B5" s="25" t="inlineStr">
        <is>
          <t>Unipro Techno Infrastructure Pvt. Ltd</t>
        </is>
      </c>
      <c r="H5" s="24" t="inlineStr">
        <is>
          <t>Place of Delivery</t>
        </is>
      </c>
      <c r="I5" s="25" t="inlineStr">
        <is>
          <t>Krishna Nagar, Bagodar, Jharkhand - 825322</t>
        </is>
      </c>
    </row>
    <row r="6" ht="20" customHeight="1">
      <c r="A6" s="24" t="inlineStr">
        <is>
          <t>Contact Person</t>
        </is>
      </c>
      <c r="B6" s="25" t="inlineStr">
        <is>
          <t>Rakesh Gupta</t>
        </is>
      </c>
      <c r="H6" s="24" t="inlineStr">
        <is>
          <t>Supplying Plant</t>
        </is>
      </c>
      <c r="I6" s="25" t="inlineStr">
        <is>
          <t>P01 Jabalpur (782 km by road)</t>
        </is>
      </c>
    </row>
    <row r="7"/>
    <row r="8" ht="30" customHeight="1">
      <c r="A8" s="3" t="inlineStr">
        <is>
          <t>Sr.</t>
        </is>
      </c>
      <c r="B8" s="3" t="inlineStr">
        <is>
          <t>Pipe ID (mm)</t>
        </is>
      </c>
      <c r="C8" s="3" t="inlineStr">
        <is>
          <t>OD (Inch)</t>
        </is>
      </c>
      <c r="D8" s="3" t="inlineStr">
        <is>
          <t>OD (mm)</t>
        </is>
      </c>
      <c r="E8" s="3" t="inlineStr">
        <is>
          <t>WT (mm)</t>
        </is>
      </c>
      <c r="F8" s="3" t="inlineStr">
        <is>
          <t>Grade Spec</t>
        </is>
      </c>
      <c r="G8" s="3" t="inlineStr">
        <is>
          <t>Type</t>
        </is>
      </c>
      <c r="H8" s="3" t="inlineStr">
        <is>
          <t>Qty (MTR)</t>
        </is>
      </c>
      <c r="I8" s="3" t="inlineStr">
        <is>
          <t>Pipe (Nos)</t>
        </is>
      </c>
      <c r="J8" s="3" t="inlineStr">
        <is>
          <t>Unit Wt (kg/m)</t>
        </is>
      </c>
      <c r="K8" s="3" t="inlineStr">
        <is>
          <t>Total Wt (MT)</t>
        </is>
      </c>
      <c r="L8" s="3" t="inlineStr">
        <is>
          <t>Volume (m³)</t>
        </is>
      </c>
      <c r="M8" s="3" t="inlineStr">
        <is>
          <t>CBM Ratio</t>
        </is>
      </c>
      <c r="N8" s="3" t="inlineStr">
        <is>
          <t>Ext Coating (m²)</t>
        </is>
      </c>
      <c r="O8" s="3" t="inlineStr">
        <is>
          <t>Int Coating (m²)</t>
        </is>
      </c>
      <c r="P8" s="3" t="inlineStr">
        <is>
          <t>Weight/Pipe (MT)</t>
        </is>
      </c>
    </row>
    <row r="9" ht="22" customHeight="1">
      <c r="A9" s="12" t="n">
        <v>1</v>
      </c>
      <c r="B9" s="12" t="n">
        <v>1226</v>
      </c>
      <c r="C9" s="12" t="n">
        <v>49</v>
      </c>
      <c r="D9" s="12" t="n">
        <v>1243</v>
      </c>
      <c r="E9" s="12" t="n">
        <v>8.4</v>
      </c>
      <c r="F9" s="5" t="inlineStr">
        <is>
          <t>IS-3589-2001 Fe 410</t>
        </is>
      </c>
      <c r="G9" s="12" t="inlineStr">
        <is>
          <t>HSAW Coated</t>
        </is>
      </c>
      <c r="H9" s="13" t="n">
        <v>2000</v>
      </c>
      <c r="I9" s="13" t="n">
        <v>167</v>
      </c>
      <c r="J9" s="6" t="n">
        <v>255.7555</v>
      </c>
      <c r="K9" s="14" t="n">
        <v>511.511</v>
      </c>
      <c r="L9" s="6" t="n">
        <v>3090.1</v>
      </c>
      <c r="M9" s="6" t="n">
        <v>6.04</v>
      </c>
      <c r="N9" s="13" t="n">
        <v>7814</v>
      </c>
      <c r="O9" s="13" t="n">
        <v>7708</v>
      </c>
      <c r="P9" s="14" t="n">
        <v>3.069</v>
      </c>
    </row>
    <row r="10" ht="22" customHeight="1">
      <c r="A10" s="12" t="n">
        <v>2</v>
      </c>
      <c r="B10" s="12" t="n">
        <v>1300</v>
      </c>
      <c r="C10" s="12" t="n">
        <v>52</v>
      </c>
      <c r="D10" s="12" t="n">
        <v>1317</v>
      </c>
      <c r="E10" s="12" t="n">
        <v>8.4</v>
      </c>
      <c r="F10" s="5" t="inlineStr">
        <is>
          <t>IS-3589-2001 Fe 410</t>
        </is>
      </c>
      <c r="G10" s="12" t="inlineStr">
        <is>
          <t>HSAW Coated</t>
        </is>
      </c>
      <c r="H10" s="13" t="n">
        <v>350</v>
      </c>
      <c r="I10" s="13" t="n">
        <v>30</v>
      </c>
      <c r="J10" s="6" t="n">
        <v>271.0851</v>
      </c>
      <c r="K10" s="14" t="n">
        <v>94.88</v>
      </c>
      <c r="L10" s="6" t="n">
        <v>607.0700000000001</v>
      </c>
      <c r="M10" s="6" t="n">
        <v>6.4</v>
      </c>
      <c r="N10" s="13" t="n">
        <v>1449</v>
      </c>
      <c r="O10" s="13" t="n">
        <v>1431</v>
      </c>
      <c r="P10" s="14" t="n">
        <v>3.253</v>
      </c>
    </row>
    <row r="11" ht="22" customHeight="1">
      <c r="A11" s="12" t="n">
        <v>3</v>
      </c>
      <c r="B11" s="12" t="n">
        <v>1350</v>
      </c>
      <c r="C11" s="12" t="n">
        <v>54</v>
      </c>
      <c r="D11" s="12" t="n">
        <v>1367</v>
      </c>
      <c r="E11" s="12" t="n">
        <v>8.4</v>
      </c>
      <c r="F11" s="5" t="inlineStr">
        <is>
          <t>IS-3589-2001 Fe 410</t>
        </is>
      </c>
      <c r="G11" s="12" t="inlineStr">
        <is>
          <t>HSAW Coated</t>
        </is>
      </c>
      <c r="H11" s="13" t="n">
        <v>500</v>
      </c>
      <c r="I11" s="13" t="n">
        <v>42</v>
      </c>
      <c r="J11" s="6" t="n">
        <v>281.443</v>
      </c>
      <c r="K11" s="14" t="n">
        <v>140.721</v>
      </c>
      <c r="L11" s="6" t="n">
        <v>934.34</v>
      </c>
      <c r="M11" s="6" t="n">
        <v>6.64</v>
      </c>
      <c r="N11" s="13" t="n">
        <v>2149</v>
      </c>
      <c r="O11" s="13" t="n">
        <v>2122</v>
      </c>
      <c r="P11" s="14" t="n">
        <v>3.377</v>
      </c>
    </row>
    <row r="12" ht="22" customHeight="1">
      <c r="A12" s="12" t="n">
        <v>4</v>
      </c>
      <c r="B12" s="12" t="n">
        <v>1400</v>
      </c>
      <c r="C12" s="12" t="n">
        <v>56</v>
      </c>
      <c r="D12" s="12" t="n">
        <v>1417</v>
      </c>
      <c r="E12" s="12" t="n">
        <v>8.4</v>
      </c>
      <c r="F12" s="5" t="inlineStr">
        <is>
          <t>IS-3589-2001 Fe 410</t>
        </is>
      </c>
      <c r="G12" s="12" t="inlineStr">
        <is>
          <t>HSAW Coated</t>
        </is>
      </c>
      <c r="H12" s="13" t="n">
        <v>4400</v>
      </c>
      <c r="I12" s="13" t="n">
        <v>367</v>
      </c>
      <c r="J12" s="6" t="n">
        <v>291.8008</v>
      </c>
      <c r="K12" s="14" t="n">
        <v>1283.923</v>
      </c>
      <c r="L12" s="6" t="n">
        <v>8834.709999999999</v>
      </c>
      <c r="M12" s="6" t="n">
        <v>6.88</v>
      </c>
      <c r="N12" s="13" t="n">
        <v>19596</v>
      </c>
      <c r="O12" s="13" t="n">
        <v>19363</v>
      </c>
      <c r="P12" s="14" t="n">
        <v>3.502</v>
      </c>
    </row>
    <row r="13" ht="24" customHeight="1">
      <c r="A13" s="26" t="inlineStr">
        <is>
          <t>TRUE TOTAL</t>
        </is>
      </c>
      <c r="B13" s="26" t="inlineStr">
        <is>
          <t>-</t>
        </is>
      </c>
      <c r="C13" s="26" t="inlineStr">
        <is>
          <t>-</t>
        </is>
      </c>
      <c r="D13" s="26" t="inlineStr">
        <is>
          <t>-</t>
        </is>
      </c>
      <c r="E13" s="26" t="inlineStr">
        <is>
          <t>-</t>
        </is>
      </c>
      <c r="F13" s="26" t="inlineStr">
        <is>
          <t>-</t>
        </is>
      </c>
      <c r="G13" s="26" t="inlineStr">
        <is>
          <t>-</t>
        </is>
      </c>
      <c r="H13" s="16" t="n">
        <v>7250</v>
      </c>
      <c r="I13" s="16" t="n">
        <v>606</v>
      </c>
      <c r="J13" s="26" t="inlineStr">
        <is>
          <t>-</t>
        </is>
      </c>
      <c r="K13" s="17" t="n">
        <v>2031.036</v>
      </c>
      <c r="L13" s="27" t="n">
        <v>13466.22</v>
      </c>
      <c r="M13" s="27" t="n">
        <v>6.63</v>
      </c>
      <c r="N13" s="16" t="n">
        <v>31008</v>
      </c>
      <c r="O13" s="16" t="n">
        <v>30624</v>
      </c>
      <c r="P13" s="26" t="inlineStr">
        <is>
          <t>-</t>
        </is>
      </c>
    </row>
    <row r="14" ht="24" customHeight="1">
      <c r="A14" s="28" t="inlineStr">
        <is>
          <t>CLIENT DRAFT ROW 16 (DEFECTIVE SUM)</t>
        </is>
      </c>
      <c r="B14" s="28" t="inlineStr">
        <is>
          <t>-</t>
        </is>
      </c>
      <c r="C14" s="28" t="inlineStr">
        <is>
          <t>-</t>
        </is>
      </c>
      <c r="D14" s="28" t="inlineStr">
        <is>
          <t>-</t>
        </is>
      </c>
      <c r="E14" s="28" t="inlineStr">
        <is>
          <t>-</t>
        </is>
      </c>
      <c r="F14" s="28" t="inlineStr">
        <is>
          <t>-</t>
        </is>
      </c>
      <c r="G14" s="28" t="inlineStr">
        <is>
          <t>-</t>
        </is>
      </c>
      <c r="H14" s="29" t="n">
        <v>7250</v>
      </c>
      <c r="I14" s="29" t="n">
        <v>239</v>
      </c>
      <c r="J14" s="28" t="inlineStr">
        <is>
          <t>-</t>
        </is>
      </c>
      <c r="K14" s="30" t="n">
        <v>747.1130000000001</v>
      </c>
      <c r="L14" s="28" t="inlineStr">
        <is>
          <t>-</t>
        </is>
      </c>
      <c r="M14" s="28" t="inlineStr">
        <is>
          <t>-</t>
        </is>
      </c>
      <c r="N14" s="29" t="n">
        <v>11412</v>
      </c>
      <c r="O14" s="29" t="n">
        <v>11261</v>
      </c>
      <c r="P14" s="28" t="inlineStr">
        <is>
          <t>-</t>
        </is>
      </c>
    </row>
    <row r="15"/>
    <row r="16">
      <c r="A16" s="31" t="inlineStr">
        <is>
          <t>CRITICAL FORENSIC AUDIT NOTE ON SOURCE TENDER FILE ('MKTGENQ26-27594 - Unipro.xlsx'):
• In the customer's draft sheet, the total row formulas for Pipes (I16), Tonnage (K16), External Coating (N16), and Internal Coating (O16) erroneously referenced range 11:14 instead of 11:15, accidentally omitting Row 15 (Line 4: 4,400 Metres / 367 Pipes / 1,283.92 MT).
• True verified totals are: 7,250 Metres, 606 Pipes (vs 239 draft), 2,031.036 MT (vs 747.11 MT draft), 31,008 m² Ext (vs 11,412 m² draft), and 30,624 m² Int (vs 11,261 m² draft). Mega Pipes Quotation System automatically corrected this omission.</t>
        </is>
      </c>
    </row>
    <row r="17"/>
    <row r="18"/>
  </sheetData>
  <mergeCells count="2">
    <mergeCell ref="A1:P1"/>
    <mergeCell ref="A16:P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1" workbookViewId="0">
      <selection activeCell="A1" sqref="A1"/>
    </sheetView>
  </sheetViews>
  <sheetFormatPr baseColWidth="8" defaultRowHeight="15" outlineLevelCol="0"/>
  <cols>
    <col width="45" customWidth="1" min="1" max="1"/>
    <col width="36" customWidth="1" min="2" max="2"/>
    <col width="19" customWidth="1" min="3" max="3"/>
    <col width="19" customWidth="1" min="4" max="4"/>
    <col width="19" customWidth="1" min="5" max="5"/>
    <col width="19" customWidth="1" min="6" max="6"/>
    <col width="18" customWidth="1" min="7" max="7"/>
  </cols>
  <sheetData>
    <row r="1" ht="35" customHeight="1">
      <c r="A1" s="1" t="inlineStr">
        <is>
          <t>COST SHEET — NORMAL MODE (AUTHORITATIVE COMMERCIAL BASELINE)</t>
        </is>
      </c>
    </row>
    <row r="2" ht="20" customHeight="1">
      <c r="A2" s="2" t="inlineStr">
        <is>
          <t>Supplying Mill: P01 Jabalpur (Maneri) | Destination: Bagodar, Jharkhand (782 km) | Pricing PI = 3.14 (Unipro Contract)</t>
        </is>
      </c>
    </row>
    <row r="3"/>
    <row r="4" ht="26" customHeight="1">
      <c r="A4" s="11" t="inlineStr">
        <is>
          <t>Cost Component / Technical Parameter</t>
        </is>
      </c>
      <c r="B4" s="11" t="inlineStr">
        <is>
          <t>Basis / Rate</t>
        </is>
      </c>
      <c r="C4" s="11" t="inlineStr">
        <is>
          <t>Line 1 (1243 mm)</t>
        </is>
      </c>
      <c r="D4" s="11" t="inlineStr">
        <is>
          <t>Line 2 (1317 mm)</t>
        </is>
      </c>
      <c r="E4" s="11" t="inlineStr">
        <is>
          <t>Line 3 (1367 mm)</t>
        </is>
      </c>
      <c r="F4" s="11" t="inlineStr">
        <is>
          <t>Line 4 (1417 mm)</t>
        </is>
      </c>
      <c r="G4" s="11" t="inlineStr">
        <is>
          <t>Total / Wtd Avg</t>
        </is>
      </c>
    </row>
    <row r="5" ht="20" customHeight="1">
      <c r="A5" s="32" t="inlineStr">
        <is>
          <t>SECTION 1: PIPE GEOMETRY &amp; QUANTITIES</t>
        </is>
      </c>
      <c r="B5" s="32" t="inlineStr"/>
      <c r="C5" s="32" t="inlineStr"/>
      <c r="D5" s="32" t="inlineStr"/>
      <c r="E5" s="32" t="inlineStr"/>
      <c r="F5" s="32" t="inlineStr"/>
      <c r="G5" s="32" t="inlineStr"/>
    </row>
    <row r="6" ht="20" customHeight="1">
      <c r="A6" s="33" t="inlineStr">
        <is>
          <t>Pipe OD (Inch)</t>
        </is>
      </c>
      <c r="B6" s="12" t="inlineStr">
        <is>
          <t>-</t>
        </is>
      </c>
      <c r="C6" s="13" t="n">
        <v>49</v>
      </c>
      <c r="D6" s="13" t="n">
        <v>52</v>
      </c>
      <c r="E6" s="13" t="n">
        <v>54</v>
      </c>
      <c r="F6" s="13" t="n">
        <v>56</v>
      </c>
      <c r="G6" s="8" t="inlineStr">
        <is>
          <t>-</t>
        </is>
      </c>
    </row>
    <row r="7" ht="20" customHeight="1">
      <c r="A7" s="33" t="inlineStr">
        <is>
          <t>Pipe ID (mm)</t>
        </is>
      </c>
      <c r="B7" s="12" t="inlineStr">
        <is>
          <t>-</t>
        </is>
      </c>
      <c r="C7" s="13" t="n">
        <v>1226</v>
      </c>
      <c r="D7" s="13" t="n">
        <v>1300</v>
      </c>
      <c r="E7" s="13" t="n">
        <v>1350</v>
      </c>
      <c r="F7" s="13" t="n">
        <v>1400</v>
      </c>
      <c r="G7" s="8" t="inlineStr">
        <is>
          <t>-</t>
        </is>
      </c>
    </row>
    <row r="8" ht="20" customHeight="1">
      <c r="A8" s="33" t="inlineStr">
        <is>
          <t>Pipe OD (mm)</t>
        </is>
      </c>
      <c r="B8" s="12" t="inlineStr">
        <is>
          <t>ROUNDUP(ID+2*WT,0)</t>
        </is>
      </c>
      <c r="C8" s="13" t="n">
        <v>1243</v>
      </c>
      <c r="D8" s="13" t="n">
        <v>1317</v>
      </c>
      <c r="E8" s="13" t="n">
        <v>1367</v>
      </c>
      <c r="F8" s="13" t="n">
        <v>1417</v>
      </c>
      <c r="G8" s="8" t="inlineStr">
        <is>
          <t>-</t>
        </is>
      </c>
    </row>
    <row r="9" ht="20" customHeight="1">
      <c r="A9" s="33" t="inlineStr">
        <is>
          <t>Wall Thickness (mm)</t>
        </is>
      </c>
      <c r="B9" s="12" t="inlineStr">
        <is>
          <t>-</t>
        </is>
      </c>
      <c r="C9" s="14" t="n">
        <v>8.4</v>
      </c>
      <c r="D9" s="14" t="n">
        <v>8.4</v>
      </c>
      <c r="E9" s="14" t="n">
        <v>8.4</v>
      </c>
      <c r="F9" s="14" t="n">
        <v>8.4</v>
      </c>
      <c r="G9" s="14" t="n">
        <v>8.4</v>
      </c>
    </row>
    <row r="10" ht="20" customHeight="1">
      <c r="A10" s="33" t="inlineStr">
        <is>
          <t>Unit Mass (MT / Metre)</t>
        </is>
      </c>
      <c r="B10" s="12" t="inlineStr">
        <is>
          <t>(OD-WT)*WT*0.0246615/1000</t>
        </is>
      </c>
      <c r="C10" s="14" t="n">
        <v>0.255756</v>
      </c>
      <c r="D10" s="14" t="n">
        <v>0.271085</v>
      </c>
      <c r="E10" s="14" t="n">
        <v>0.281443</v>
      </c>
      <c r="F10" s="14" t="n">
        <v>0.291801</v>
      </c>
      <c r="G10" s="14" t="n">
        <v>0.280143</v>
      </c>
    </row>
    <row r="11" ht="20" customHeight="1">
      <c r="A11" s="33" t="inlineStr">
        <is>
          <t>Quantity (Metres)</t>
        </is>
      </c>
      <c r="B11" s="12" t="inlineStr">
        <is>
          <t>-</t>
        </is>
      </c>
      <c r="C11" s="13" t="n">
        <v>2000</v>
      </c>
      <c r="D11" s="13" t="n">
        <v>350</v>
      </c>
      <c r="E11" s="13" t="n">
        <v>500</v>
      </c>
      <c r="F11" s="13" t="n">
        <v>4400</v>
      </c>
      <c r="G11" s="13" t="n">
        <v>7250</v>
      </c>
    </row>
    <row r="12" ht="20" customHeight="1">
      <c r="A12" s="33" t="inlineStr">
        <is>
          <t>Total Weight (MT)</t>
        </is>
      </c>
      <c r="B12" s="12" t="inlineStr">
        <is>
          <t>Metres * MT/m</t>
        </is>
      </c>
      <c r="C12" s="6" t="n">
        <v>511.511</v>
      </c>
      <c r="D12" s="6" t="n">
        <v>94.88</v>
      </c>
      <c r="E12" s="6" t="n">
        <v>140.721</v>
      </c>
      <c r="F12" s="6" t="n">
        <v>1283.923</v>
      </c>
      <c r="G12" s="6" t="n">
        <v>2031.036</v>
      </c>
    </row>
    <row r="13" ht="20" customHeight="1">
      <c r="A13" s="33" t="inlineStr">
        <is>
          <t>Single Pipe Weight (MT)</t>
        </is>
      </c>
      <c r="B13" s="12" t="inlineStr">
        <is>
          <t>12m * MT/m</t>
        </is>
      </c>
      <c r="C13" s="14" t="n">
        <v>3.069</v>
      </c>
      <c r="D13" s="14" t="n">
        <v>3.253</v>
      </c>
      <c r="E13" s="14" t="n">
        <v>3.377</v>
      </c>
      <c r="F13" s="14" t="n">
        <v>3.502</v>
      </c>
      <c r="G13" s="14" t="n">
        <v>3.362</v>
      </c>
    </row>
    <row r="14" ht="20" customHeight="1">
      <c r="A14" s="33" t="inlineStr">
        <is>
          <t>Total Pipe Count (Nos)</t>
        </is>
      </c>
      <c r="B14" s="12" t="inlineStr">
        <is>
          <t>CEILING(Metres/12, 1)</t>
        </is>
      </c>
      <c r="C14" s="13" t="n">
        <v>167</v>
      </c>
      <c r="D14" s="13" t="n">
        <v>30</v>
      </c>
      <c r="E14" s="13" t="n">
        <v>42</v>
      </c>
      <c r="F14" s="13" t="n">
        <v>367</v>
      </c>
      <c r="G14" s="13" t="n">
        <v>606</v>
      </c>
    </row>
    <row r="15" ht="20" customHeight="1">
      <c r="A15" s="32" t="inlineStr">
        <is>
          <t>SECTION 2: MANUFACTURING PRE-COST PER MT</t>
        </is>
      </c>
      <c r="B15" s="32" t="inlineStr"/>
      <c r="C15" s="32" t="inlineStr"/>
      <c r="D15" s="32" t="inlineStr"/>
      <c r="E15" s="32" t="inlineStr"/>
      <c r="F15" s="32" t="inlineStr"/>
      <c r="G15" s="32" t="inlineStr"/>
    </row>
    <row r="16" ht="20" customHeight="1">
      <c r="A16" s="33" t="inlineStr">
        <is>
          <t>Steel Base Rate (BEN + Grade Extra)</t>
        </is>
      </c>
      <c r="B16" s="12" t="inlineStr">
        <is>
          <t>₹ / MT</t>
        </is>
      </c>
      <c r="C16" s="13" t="n">
        <v>61000</v>
      </c>
      <c r="D16" s="13" t="n">
        <v>61000</v>
      </c>
      <c r="E16" s="13" t="n">
        <v>61000</v>
      </c>
      <c r="F16" s="13" t="n">
        <v>61000</v>
      </c>
      <c r="G16" s="13" t="n">
        <v>61000</v>
      </c>
    </row>
    <row r="17" ht="20" customHeight="1">
      <c r="A17" s="33" t="inlineStr">
        <is>
          <t>Yield Loss Allowance</t>
        </is>
      </c>
      <c r="B17" s="12" t="inlineStr">
        <is>
          <t>2.00%</t>
        </is>
      </c>
      <c r="C17" s="13" t="n">
        <v>1220</v>
      </c>
      <c r="D17" s="13" t="n">
        <v>1220</v>
      </c>
      <c r="E17" s="13" t="n">
        <v>1220</v>
      </c>
      <c r="F17" s="13" t="n">
        <v>1220</v>
      </c>
      <c r="G17" s="13" t="n">
        <v>1220</v>
      </c>
    </row>
    <row r="18" ht="20" customHeight="1">
      <c r="A18" s="33" t="inlineStr">
        <is>
          <t>Conversion Cost (Slit coil to pipe)</t>
        </is>
      </c>
      <c r="B18" s="12" t="inlineStr">
        <is>
          <t>₹ / MT</t>
        </is>
      </c>
      <c r="C18" s="13" t="n">
        <v>5000</v>
      </c>
      <c r="D18" s="13" t="n">
        <v>5000</v>
      </c>
      <c r="E18" s="13" t="n">
        <v>5000</v>
      </c>
      <c r="F18" s="13" t="n">
        <v>5000</v>
      </c>
      <c r="G18" s="13" t="n">
        <v>5000</v>
      </c>
    </row>
    <row r="19" ht="20" customHeight="1">
      <c r="A19" s="20" t="inlineStr">
        <is>
          <t>Pre-Cost per MT (Manufacturing Base)</t>
        </is>
      </c>
      <c r="B19" s="20" t="inlineStr">
        <is>
          <t>Steel + Yield + Conversion</t>
        </is>
      </c>
      <c r="C19" s="21" t="n">
        <v>67220</v>
      </c>
      <c r="D19" s="21" t="n">
        <v>67220</v>
      </c>
      <c r="E19" s="21" t="n">
        <v>67220</v>
      </c>
      <c r="F19" s="21" t="n">
        <v>67220</v>
      </c>
      <c r="G19" s="21" t="n">
        <v>67220</v>
      </c>
    </row>
    <row r="20" ht="20" customHeight="1">
      <c r="A20" s="32" t="inlineStr">
        <is>
          <t>SECTION 3: COATING, FREIGHT &amp; FINANCING PER MT</t>
        </is>
      </c>
      <c r="B20" s="32" t="inlineStr"/>
      <c r="C20" s="32" t="inlineStr"/>
      <c r="D20" s="32" t="inlineStr"/>
      <c r="E20" s="32" t="inlineStr"/>
      <c r="F20" s="32" t="inlineStr"/>
      <c r="G20" s="32" t="inlineStr"/>
    </row>
    <row r="21" ht="20" customHeight="1">
      <c r="A21" s="33" t="inlineStr">
        <is>
          <t>External PU Coating Cost / MT</t>
        </is>
      </c>
      <c r="B21" s="12" t="inlineStr">
        <is>
          <t>₹500/m² * π * OD / MTm</t>
        </is>
      </c>
      <c r="C21" s="6" t="n">
        <v>7630.37</v>
      </c>
      <c r="D21" s="6" t="n">
        <v>7627.46</v>
      </c>
      <c r="E21" s="6" t="n">
        <v>7625.67</v>
      </c>
      <c r="F21" s="6" t="n">
        <v>7624</v>
      </c>
      <c r="G21" s="6" t="n">
        <v>7625.88</v>
      </c>
    </row>
    <row r="22" ht="20" customHeight="1">
      <c r="A22" s="33" t="inlineStr">
        <is>
          <t>Internal FGE Coating Cost / MT (Using ID)</t>
        </is>
      </c>
      <c r="B22" s="12" t="inlineStr">
        <is>
          <t>₹275/m² * π * ID / MTm</t>
        </is>
      </c>
      <c r="C22" s="6" t="n">
        <v>4139.31</v>
      </c>
      <c r="D22" s="6" t="n">
        <v>4140.95</v>
      </c>
      <c r="E22" s="6" t="n">
        <v>4141.96</v>
      </c>
      <c r="F22" s="6" t="n">
        <v>4142.89</v>
      </c>
      <c r="G22" s="6" t="n">
        <v>4141.83</v>
      </c>
    </row>
    <row r="23" ht="20" customHeight="1">
      <c r="A23" s="33" t="inlineStr">
        <is>
          <t>Flatbed Trailers Required</t>
        </is>
      </c>
      <c r="B23" s="12" t="inlineStr">
        <is>
          <t>Whole-Trailer Ceiling</t>
        </is>
      </c>
      <c r="C23" s="13" t="n">
        <v>42</v>
      </c>
      <c r="D23" s="13" t="n">
        <v>8</v>
      </c>
      <c r="E23" s="13" t="n">
        <v>11</v>
      </c>
      <c r="F23" s="13" t="n">
        <v>92</v>
      </c>
      <c r="G23" s="13" t="n">
        <v>153</v>
      </c>
    </row>
    <row r="24" ht="20" customHeight="1">
      <c r="A24" s="33" t="inlineStr">
        <is>
          <t>Freight per MT (Stacking: 4 pipes/trailer)</t>
        </is>
      </c>
      <c r="B24" s="12" t="inlineStr">
        <is>
          <t>(TripRate * Trailers / MT) + ₹100</t>
        </is>
      </c>
      <c r="C24" s="13" t="n">
        <v>8147</v>
      </c>
      <c r="D24" s="13" t="n">
        <v>8364</v>
      </c>
      <c r="E24" s="13" t="n">
        <v>7761</v>
      </c>
      <c r="F24" s="13" t="n">
        <v>7123</v>
      </c>
      <c r="G24" s="6" t="n">
        <v>7378.14</v>
      </c>
    </row>
    <row r="25" ht="20" customHeight="1">
      <c r="A25" s="33" t="inlineStr">
        <is>
          <t>Dynamic Financial Cost / MT (FC)</t>
        </is>
      </c>
      <c r="B25" s="12" t="inlineStr">
        <is>
          <t>k * BaseCost / (1 - k), k=0.0177</t>
        </is>
      </c>
      <c r="C25" s="6" t="n">
        <v>1570.11</v>
      </c>
      <c r="D25" s="6" t="n">
        <v>1574</v>
      </c>
      <c r="E25" s="6" t="n">
        <v>1563.12</v>
      </c>
      <c r="F25" s="6" t="n">
        <v>1551.61</v>
      </c>
      <c r="G25" s="6" t="n">
        <v>1558.11</v>
      </c>
    </row>
    <row r="26" ht="20" customHeight="1">
      <c r="A26" s="33" t="inlineStr">
        <is>
          <t>Total Cost Delivered per MT (Excl GST)</t>
        </is>
      </c>
      <c r="B26" s="12" t="inlineStr">
        <is>
          <t>Pre + Ext + Int + Freight + FC</t>
        </is>
      </c>
      <c r="C26" s="6" t="n">
        <v>88706.78999999999</v>
      </c>
      <c r="D26" s="6" t="n">
        <v>88926.41</v>
      </c>
      <c r="E26" s="6" t="n">
        <v>88311.75</v>
      </c>
      <c r="F26" s="6" t="n">
        <v>87661.5</v>
      </c>
      <c r="G26" s="6" t="n">
        <v>88023.96000000001</v>
      </c>
    </row>
    <row r="27" ht="20" customHeight="1">
      <c r="A27" s="32" t="inlineStr">
        <is>
          <t>SECTION 4: COMMERCIAL SELLING PRICE PER METRE (ROUNDUPD)</t>
        </is>
      </c>
      <c r="B27" s="32" t="inlineStr"/>
      <c r="C27" s="32" t="inlineStr"/>
      <c r="D27" s="32" t="inlineStr"/>
      <c r="E27" s="32" t="inlineStr"/>
      <c r="F27" s="32" t="inlineStr"/>
      <c r="G27" s="32" t="inlineStr"/>
    </row>
    <row r="28" ht="20" customHeight="1">
      <c r="A28" s="33" t="inlineStr">
        <is>
          <t>Bare Pipe Price / Metre</t>
        </is>
      </c>
      <c r="B28" s="12" t="inlineStr">
        <is>
          <t>ROUNDUP((Pre + FC) * MTm, 0)</t>
        </is>
      </c>
      <c r="C28" s="13" t="n">
        <v>17594</v>
      </c>
      <c r="D28" s="13" t="n">
        <v>18650</v>
      </c>
      <c r="E28" s="13" t="n">
        <v>19359</v>
      </c>
      <c r="F28" s="13" t="n">
        <v>20068</v>
      </c>
      <c r="G28" s="6" t="n">
        <v>19280.97</v>
      </c>
    </row>
    <row r="29" ht="20" customHeight="1">
      <c r="A29" s="33" t="inlineStr">
        <is>
          <t>External Coating Price / Metre</t>
        </is>
      </c>
      <c r="B29" s="12" t="inlineStr">
        <is>
          <t>ROUNDUP(ExtCostMT * MTm, 0)</t>
        </is>
      </c>
      <c r="C29" s="13" t="n">
        <v>1952</v>
      </c>
      <c r="D29" s="13" t="n">
        <v>2068</v>
      </c>
      <c r="E29" s="13" t="n">
        <v>2147</v>
      </c>
      <c r="F29" s="13" t="n">
        <v>2225</v>
      </c>
      <c r="G29" s="6" t="n">
        <v>2137.66</v>
      </c>
    </row>
    <row r="30" ht="20" customHeight="1">
      <c r="A30" s="33" t="inlineStr">
        <is>
          <t>Internal Coating Price / Metre</t>
        </is>
      </c>
      <c r="B30" s="12" t="inlineStr">
        <is>
          <t>ROUNDUP(IntCostMT * MTm, 0)</t>
        </is>
      </c>
      <c r="C30" s="13" t="n">
        <v>1059</v>
      </c>
      <c r="D30" s="13" t="n">
        <v>1123</v>
      </c>
      <c r="E30" s="13" t="n">
        <v>1166</v>
      </c>
      <c r="F30" s="13" t="n">
        <v>1209</v>
      </c>
      <c r="G30" s="6" t="n">
        <v>1161.24</v>
      </c>
    </row>
    <row r="31" ht="20" customHeight="1">
      <c r="A31" s="33" t="inlineStr">
        <is>
          <t>Freight Price / Metre</t>
        </is>
      </c>
      <c r="B31" s="12" t="inlineStr">
        <is>
          <t>ROUNDUP(FreightMT * MTm, 0)</t>
        </is>
      </c>
      <c r="C31" s="13" t="n">
        <v>2084</v>
      </c>
      <c r="D31" s="13" t="n">
        <v>2268</v>
      </c>
      <c r="E31" s="13" t="n">
        <v>2185</v>
      </c>
      <c r="F31" s="13" t="n">
        <v>2079</v>
      </c>
      <c r="G31" s="6" t="n">
        <v>2082.34</v>
      </c>
    </row>
    <row r="32" ht="20" customHeight="1">
      <c r="A32" s="20" t="inlineStr">
        <is>
          <t>Delivered Unit Price / Metre (Excl GST)</t>
        </is>
      </c>
      <c r="B32" s="20" t="inlineStr">
        <is>
          <t>Bare + Ext + Int + Freight</t>
        </is>
      </c>
      <c r="C32" s="21" t="n">
        <v>22689</v>
      </c>
      <c r="D32" s="21" t="n">
        <v>24109</v>
      </c>
      <c r="E32" s="21" t="n">
        <v>24857</v>
      </c>
      <c r="F32" s="21" t="n">
        <v>25581</v>
      </c>
      <c r="G32" s="21" t="n">
        <v>24662.21</v>
      </c>
    </row>
    <row r="33" ht="20" customHeight="1">
      <c r="A33" s="32" t="inlineStr">
        <is>
          <t>SECTION 5: LINE VALUATION &amp; TAX SUMMARY</t>
        </is>
      </c>
      <c r="B33" s="32" t="inlineStr"/>
      <c r="C33" s="32" t="inlineStr"/>
      <c r="D33" s="32" t="inlineStr"/>
      <c r="E33" s="32" t="inlineStr"/>
      <c r="F33" s="32" t="inlineStr"/>
      <c r="G33" s="32" t="inlineStr"/>
    </row>
    <row r="34" ht="20" customHeight="1">
      <c r="A34" s="15" t="inlineStr">
        <is>
          <t>Line Total Value Excl. GST (INR)</t>
        </is>
      </c>
      <c r="B34" s="15" t="inlineStr">
        <is>
          <t>Delivered Rate * Metres</t>
        </is>
      </c>
      <c r="C34" s="19" t="n">
        <v>45378000</v>
      </c>
      <c r="D34" s="19" t="n">
        <v>8438150</v>
      </c>
      <c r="E34" s="19" t="n">
        <v>12428500</v>
      </c>
      <c r="F34" s="19" t="n">
        <v>112556400</v>
      </c>
      <c r="G34" s="19" t="n">
        <v>178801050</v>
      </c>
    </row>
    <row r="35" ht="20" customHeight="1">
      <c r="A35" s="33" t="inlineStr">
        <is>
          <t>Statutory GST @ 18% (INR)</t>
        </is>
      </c>
      <c r="B35" s="12" t="inlineStr">
        <is>
          <t>18% on Line Value</t>
        </is>
      </c>
      <c r="C35" s="9" t="n">
        <v>8168040</v>
      </c>
      <c r="D35" s="9" t="n">
        <v>1518867</v>
      </c>
      <c r="E35" s="9" t="n">
        <v>2237130</v>
      </c>
      <c r="F35" s="9" t="n">
        <v>20260152</v>
      </c>
      <c r="G35" s="9" t="n">
        <v>32184189</v>
      </c>
    </row>
    <row r="36" ht="20" customHeight="1">
      <c r="A36" s="15" t="inlineStr">
        <is>
          <t>Line Total Incl. GST (INR)</t>
        </is>
      </c>
      <c r="B36" s="15" t="inlineStr">
        <is>
          <t>Line Value + GST</t>
        </is>
      </c>
      <c r="C36" s="19" t="n">
        <v>53546040</v>
      </c>
      <c r="D36" s="19" t="n">
        <v>9957017</v>
      </c>
      <c r="E36" s="19" t="n">
        <v>14665630</v>
      </c>
      <c r="F36" s="19" t="n">
        <v>132816552</v>
      </c>
      <c r="G36" s="19" t="n">
        <v>210985239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1" workbookViewId="0">
      <selection activeCell="A1" sqref="A1"/>
    </sheetView>
  </sheetViews>
  <sheetFormatPr baseColWidth="8" defaultRowHeight="15" outlineLevelCol="0"/>
  <cols>
    <col width="45" customWidth="1" min="1" max="1"/>
    <col width="33" customWidth="1" min="2" max="2"/>
    <col width="19" customWidth="1" min="3" max="3"/>
    <col width="19" customWidth="1" min="4" max="4"/>
    <col width="19" customWidth="1" min="5" max="5"/>
    <col width="19" customWidth="1" min="6" max="6"/>
    <col width="18" customWidth="1" min="7" max="7"/>
  </cols>
  <sheetData>
    <row r="1" ht="35" customHeight="1">
      <c r="A1" s="34" t="inlineStr">
        <is>
          <t>COST SHEET — LEGACY MODE (HISTORICAL REFERENCE REPRODUCTION)</t>
        </is>
      </c>
    </row>
    <row r="2" ht="20" customHeight="1">
      <c r="A2" s="35" t="inlineStr">
        <is>
          <t>Reference: MKTGENQ26-27-594 - Unipro CS.xlsx | Fractional Trailers | Int Coating using OD | Static Manual FC</t>
        </is>
      </c>
    </row>
    <row r="3"/>
    <row r="4" ht="26" customHeight="1">
      <c r="A4" s="36" t="inlineStr">
        <is>
          <t>Cost Component / Technical Parameter</t>
        </is>
      </c>
      <c r="B4" s="36" t="inlineStr">
        <is>
          <t>Basis / Rate</t>
        </is>
      </c>
      <c r="C4" s="36" t="inlineStr">
        <is>
          <t>Line 1 (1243 mm)</t>
        </is>
      </c>
      <c r="D4" s="36" t="inlineStr">
        <is>
          <t>Line 2 (1317 mm)</t>
        </is>
      </c>
      <c r="E4" s="36" t="inlineStr">
        <is>
          <t>Line 3 (1367 mm)</t>
        </is>
      </c>
      <c r="F4" s="36" t="inlineStr">
        <is>
          <t>Line 4 (1417 mm)</t>
        </is>
      </c>
      <c r="G4" s="36" t="inlineStr">
        <is>
          <t>Total / Wtd Avg</t>
        </is>
      </c>
    </row>
    <row r="5" ht="20" customHeight="1">
      <c r="A5" s="37" t="inlineStr">
        <is>
          <t>SECTION 1: PIPE GEOMETRY &amp; QUANTITIES</t>
        </is>
      </c>
      <c r="B5" s="37" t="inlineStr"/>
      <c r="C5" s="37" t="inlineStr"/>
      <c r="D5" s="37" t="inlineStr"/>
      <c r="E5" s="37" t="inlineStr"/>
      <c r="F5" s="37" t="inlineStr"/>
      <c r="G5" s="37" t="inlineStr"/>
    </row>
    <row r="6" ht="20" customHeight="1">
      <c r="A6" s="33" t="inlineStr">
        <is>
          <t>Pipe OD (Inch)</t>
        </is>
      </c>
      <c r="B6" s="12" t="inlineStr">
        <is>
          <t>-</t>
        </is>
      </c>
      <c r="C6" s="13" t="n">
        <v>49</v>
      </c>
      <c r="D6" s="13" t="n">
        <v>52</v>
      </c>
      <c r="E6" s="13" t="n">
        <v>54</v>
      </c>
      <c r="F6" s="13" t="n">
        <v>56</v>
      </c>
      <c r="G6" s="8" t="inlineStr">
        <is>
          <t>-</t>
        </is>
      </c>
    </row>
    <row r="7" ht="20" customHeight="1">
      <c r="A7" s="33" t="inlineStr">
        <is>
          <t>Pipe ID (mm)</t>
        </is>
      </c>
      <c r="B7" s="12" t="inlineStr">
        <is>
          <t>-</t>
        </is>
      </c>
      <c r="C7" s="13" t="n">
        <v>1226</v>
      </c>
      <c r="D7" s="13" t="n">
        <v>1300</v>
      </c>
      <c r="E7" s="13" t="n">
        <v>1350</v>
      </c>
      <c r="F7" s="13" t="n">
        <v>1400</v>
      </c>
      <c r="G7" s="8" t="inlineStr">
        <is>
          <t>-</t>
        </is>
      </c>
    </row>
    <row r="8" ht="20" customHeight="1">
      <c r="A8" s="33" t="inlineStr">
        <is>
          <t>Pipe OD (mm)</t>
        </is>
      </c>
      <c r="B8" s="12" t="inlineStr">
        <is>
          <t>-</t>
        </is>
      </c>
      <c r="C8" s="13" t="n">
        <v>1243</v>
      </c>
      <c r="D8" s="13" t="n">
        <v>1317</v>
      </c>
      <c r="E8" s="13" t="n">
        <v>1367</v>
      </c>
      <c r="F8" s="13" t="n">
        <v>1417</v>
      </c>
      <c r="G8" s="8" t="inlineStr">
        <is>
          <t>-</t>
        </is>
      </c>
    </row>
    <row r="9" ht="20" customHeight="1">
      <c r="A9" s="33" t="inlineStr">
        <is>
          <t>Wall Thickness (mm)</t>
        </is>
      </c>
      <c r="B9" s="12" t="inlineStr">
        <is>
          <t>-</t>
        </is>
      </c>
      <c r="C9" s="14" t="n">
        <v>8.4</v>
      </c>
      <c r="D9" s="14" t="n">
        <v>8.4</v>
      </c>
      <c r="E9" s="14" t="n">
        <v>8.4</v>
      </c>
      <c r="F9" s="14" t="n">
        <v>8.4</v>
      </c>
      <c r="G9" s="14" t="n">
        <v>8.4</v>
      </c>
    </row>
    <row r="10" ht="20" customHeight="1">
      <c r="A10" s="33" t="inlineStr">
        <is>
          <t>Unit Mass (MT / Metre)</t>
        </is>
      </c>
      <c r="B10" s="12" t="inlineStr">
        <is>
          <t>-</t>
        </is>
      </c>
      <c r="C10" s="14" t="n">
        <v>0.255756</v>
      </c>
      <c r="D10" s="14" t="n">
        <v>0.271085</v>
      </c>
      <c r="E10" s="14" t="n">
        <v>0.281443</v>
      </c>
      <c r="F10" s="14" t="n">
        <v>0.291801</v>
      </c>
      <c r="G10" s="14" t="n">
        <v>0.280143</v>
      </c>
    </row>
    <row r="11" ht="20" customHeight="1">
      <c r="A11" s="33" t="inlineStr">
        <is>
          <t>Quantity (Metres)</t>
        </is>
      </c>
      <c r="B11" s="12" t="inlineStr">
        <is>
          <t>-</t>
        </is>
      </c>
      <c r="C11" s="13" t="n">
        <v>2000</v>
      </c>
      <c r="D11" s="13" t="n">
        <v>350</v>
      </c>
      <c r="E11" s="13" t="n">
        <v>500</v>
      </c>
      <c r="F11" s="13" t="n">
        <v>4400</v>
      </c>
      <c r="G11" s="13" t="n">
        <v>7250</v>
      </c>
    </row>
    <row r="12" ht="20" customHeight="1">
      <c r="A12" s="33" t="inlineStr">
        <is>
          <t>Total Weight (MT)</t>
        </is>
      </c>
      <c r="B12" s="12" t="inlineStr">
        <is>
          <t>-</t>
        </is>
      </c>
      <c r="C12" s="6" t="n">
        <v>511.511</v>
      </c>
      <c r="D12" s="6" t="n">
        <v>94.88</v>
      </c>
      <c r="E12" s="6" t="n">
        <v>140.721</v>
      </c>
      <c r="F12" s="6" t="n">
        <v>1283.923</v>
      </c>
      <c r="G12" s="6" t="n">
        <v>2031.036</v>
      </c>
    </row>
    <row r="13" ht="20" customHeight="1">
      <c r="A13" s="33" t="inlineStr">
        <is>
          <t>Total Pipe Count (Nos)</t>
        </is>
      </c>
      <c r="B13" s="12" t="inlineStr">
        <is>
          <t>-</t>
        </is>
      </c>
      <c r="C13" s="13" t="n">
        <v>167</v>
      </c>
      <c r="D13" s="13" t="n">
        <v>30</v>
      </c>
      <c r="E13" s="13" t="n">
        <v>42</v>
      </c>
      <c r="F13" s="13" t="n">
        <v>367</v>
      </c>
      <c r="G13" s="13" t="n">
        <v>606</v>
      </c>
    </row>
    <row r="14" ht="20" customHeight="1">
      <c r="A14" s="37" t="inlineStr">
        <is>
          <t>SECTION 2: MANUFACTURING PRE-COST PER MT</t>
        </is>
      </c>
      <c r="B14" s="37" t="inlineStr"/>
      <c r="C14" s="37" t="inlineStr"/>
      <c r="D14" s="37" t="inlineStr"/>
      <c r="E14" s="37" t="inlineStr"/>
      <c r="F14" s="37" t="inlineStr"/>
      <c r="G14" s="37" t="inlineStr"/>
    </row>
    <row r="15" ht="20" customHeight="1">
      <c r="A15" s="33" t="inlineStr">
        <is>
          <t>Steel Base Rate (BEN + Grade Extra)</t>
        </is>
      </c>
      <c r="B15" s="12" t="inlineStr">
        <is>
          <t>₹ / MT</t>
        </is>
      </c>
      <c r="C15" s="13" t="n">
        <v>61000</v>
      </c>
      <c r="D15" s="13" t="n">
        <v>61000</v>
      </c>
      <c r="E15" s="13" t="n">
        <v>61000</v>
      </c>
      <c r="F15" s="13" t="n">
        <v>61000</v>
      </c>
      <c r="G15" s="13" t="n">
        <v>61000</v>
      </c>
    </row>
    <row r="16" ht="20" customHeight="1">
      <c r="A16" s="33" t="inlineStr">
        <is>
          <t>Yield Loss Allowance</t>
        </is>
      </c>
      <c r="B16" s="12" t="inlineStr">
        <is>
          <t>2.00%</t>
        </is>
      </c>
      <c r="C16" s="13" t="n">
        <v>1220</v>
      </c>
      <c r="D16" s="13" t="n">
        <v>1220</v>
      </c>
      <c r="E16" s="13" t="n">
        <v>1220</v>
      </c>
      <c r="F16" s="13" t="n">
        <v>1220</v>
      </c>
      <c r="G16" s="13" t="n">
        <v>1220</v>
      </c>
    </row>
    <row r="17" ht="20" customHeight="1">
      <c r="A17" s="33" t="inlineStr">
        <is>
          <t>Conversion Cost</t>
        </is>
      </c>
      <c r="B17" s="12" t="inlineStr">
        <is>
          <t>₹ / MT</t>
        </is>
      </c>
      <c r="C17" s="13" t="n">
        <v>5000</v>
      </c>
      <c r="D17" s="13" t="n">
        <v>5000</v>
      </c>
      <c r="E17" s="13" t="n">
        <v>5000</v>
      </c>
      <c r="F17" s="13" t="n">
        <v>5000</v>
      </c>
      <c r="G17" s="13" t="n">
        <v>5000</v>
      </c>
    </row>
    <row r="18" ht="20" customHeight="1">
      <c r="A18" s="20" t="inlineStr">
        <is>
          <t>Pre-Cost per MT</t>
        </is>
      </c>
      <c r="B18" s="20" t="inlineStr">
        <is>
          <t>Steel + Yield + Conversion</t>
        </is>
      </c>
      <c r="C18" s="21" t="n">
        <v>67220</v>
      </c>
      <c r="D18" s="21" t="n">
        <v>67220</v>
      </c>
      <c r="E18" s="21" t="n">
        <v>67220</v>
      </c>
      <c r="F18" s="21" t="n">
        <v>67220</v>
      </c>
      <c r="G18" s="21" t="n">
        <v>67220</v>
      </c>
    </row>
    <row r="19" ht="20" customHeight="1">
      <c r="A19" s="37" t="inlineStr">
        <is>
          <t>SECTION 3: COATING, FREIGHT &amp; FINANCING PER MT</t>
        </is>
      </c>
      <c r="B19" s="37" t="inlineStr"/>
      <c r="C19" s="37" t="inlineStr"/>
      <c r="D19" s="37" t="inlineStr"/>
      <c r="E19" s="37" t="inlineStr"/>
      <c r="F19" s="37" t="inlineStr"/>
      <c r="G19" s="37" t="inlineStr"/>
    </row>
    <row r="20" ht="20" customHeight="1">
      <c r="A20" s="33" t="inlineStr">
        <is>
          <t>External PU Coating Cost / MT</t>
        </is>
      </c>
      <c r="B20" s="12" t="inlineStr">
        <is>
          <t>₹500/m² * π * OD / MTm</t>
        </is>
      </c>
      <c r="C20" s="6" t="n">
        <v>7630.37</v>
      </c>
      <c r="D20" s="6" t="n">
        <v>7627.46</v>
      </c>
      <c r="E20" s="6" t="n">
        <v>7625.67</v>
      </c>
      <c r="F20" s="6" t="n">
        <v>7624</v>
      </c>
      <c r="G20" s="6" t="n">
        <v>7625.88</v>
      </c>
    </row>
    <row r="21" ht="20" customHeight="1">
      <c r="A21" s="33" t="inlineStr">
        <is>
          <t>Internal FGE Coating Cost / MT (DEFECT: Uses OD)</t>
        </is>
      </c>
      <c r="B21" s="12" t="inlineStr">
        <is>
          <t>₹275/m² * π * OD / MTm</t>
        </is>
      </c>
      <c r="C21" s="6" t="n">
        <v>4196.7</v>
      </c>
      <c r="D21" s="6" t="n">
        <v>4195.1</v>
      </c>
      <c r="E21" s="6" t="n">
        <v>4194.12</v>
      </c>
      <c r="F21" s="6" t="n">
        <v>4193.2</v>
      </c>
      <c r="G21" s="6" t="n">
        <v>4194.24</v>
      </c>
    </row>
    <row r="22" ht="20" customHeight="1">
      <c r="A22" s="33" t="inlineStr">
        <is>
          <t>Flatbed Trailers Required</t>
        </is>
      </c>
      <c r="B22" s="12" t="inlineStr">
        <is>
          <t>Fractional Trailers (Pipes/4)</t>
        </is>
      </c>
      <c r="C22" s="6" t="n">
        <v>41.67</v>
      </c>
      <c r="D22" s="14" t="n">
        <v>7.29</v>
      </c>
      <c r="E22" s="6" t="n">
        <v>10.42</v>
      </c>
      <c r="F22" s="6" t="n">
        <v>91.67</v>
      </c>
      <c r="G22" s="6" t="n">
        <v>151.04</v>
      </c>
    </row>
    <row r="23" ht="20" customHeight="1">
      <c r="A23" s="33" t="inlineStr">
        <is>
          <t>Freight per MT (Stacking: 4 pipes/trailer)</t>
        </is>
      </c>
      <c r="B23" s="12" t="inlineStr">
        <is>
          <t>(98000 * Trailers / MT) + ₹100</t>
        </is>
      </c>
      <c r="C23" s="13" t="n">
        <v>8084</v>
      </c>
      <c r="D23" s="13" t="n">
        <v>7632</v>
      </c>
      <c r="E23" s="13" t="n">
        <v>7358</v>
      </c>
      <c r="F23" s="13" t="n">
        <v>7098</v>
      </c>
      <c r="G23" s="6" t="n">
        <v>7208.43</v>
      </c>
    </row>
    <row r="24" ht="20" customHeight="1">
      <c r="A24" s="33" t="inlineStr">
        <is>
          <t>Financial Cost / MT (FC)</t>
        </is>
      </c>
      <c r="B24" s="12" t="inlineStr">
        <is>
          <t>Manual Hardcoded Override</t>
        </is>
      </c>
      <c r="C24" s="6" t="n">
        <v>1542</v>
      </c>
      <c r="D24" s="6" t="n">
        <v>1534</v>
      </c>
      <c r="E24" s="6" t="n">
        <v>1529</v>
      </c>
      <c r="F24" s="6" t="n">
        <v>1525</v>
      </c>
      <c r="G24" s="6" t="n">
        <v>1530.01</v>
      </c>
    </row>
    <row r="25" ht="20" customHeight="1">
      <c r="A25" s="33" t="inlineStr">
        <is>
          <t>Total Cost Delivered per MT (Excl GST)</t>
        </is>
      </c>
      <c r="B25" s="12" t="inlineStr">
        <is>
          <t>Pre + Ext + Int + Freight + FC</t>
        </is>
      </c>
      <c r="C25" s="6" t="n">
        <v>88673.07000000001</v>
      </c>
      <c r="D25" s="6" t="n">
        <v>88208.56</v>
      </c>
      <c r="E25" s="6" t="n">
        <v>87926.78999999999</v>
      </c>
      <c r="F25" s="6" t="n">
        <v>87660.2</v>
      </c>
      <c r="G25" s="6" t="n">
        <v>87778.56</v>
      </c>
    </row>
    <row r="26" ht="20" customHeight="1">
      <c r="A26" s="37" t="inlineStr">
        <is>
          <t>SECTION 4: COMMERCIAL SELLING PRICE PER METRE</t>
        </is>
      </c>
      <c r="B26" s="37" t="inlineStr"/>
      <c r="C26" s="37" t="inlineStr"/>
      <c r="D26" s="37" t="inlineStr"/>
      <c r="E26" s="37" t="inlineStr"/>
      <c r="F26" s="37" t="inlineStr"/>
      <c r="G26" s="37" t="inlineStr"/>
    </row>
    <row r="27" ht="20" customHeight="1">
      <c r="A27" s="33" t="inlineStr">
        <is>
          <t>Bare Pipe Price / Metre</t>
        </is>
      </c>
      <c r="B27" s="12" t="inlineStr">
        <is>
          <t>Legacy Rate Build-up</t>
        </is>
      </c>
      <c r="C27" s="13" t="n">
        <v>17587</v>
      </c>
      <c r="D27" s="13" t="n">
        <v>18639</v>
      </c>
      <c r="E27" s="13" t="n">
        <v>19349</v>
      </c>
      <c r="F27" s="13" t="n">
        <v>20060</v>
      </c>
      <c r="G27" s="6" t="n">
        <v>19263.15</v>
      </c>
    </row>
    <row r="28" ht="20" customHeight="1">
      <c r="A28" s="33" t="inlineStr">
        <is>
          <t>External Coating Price / Metre</t>
        </is>
      </c>
      <c r="B28" s="12" t="inlineStr">
        <is>
          <t>Legacy Rate Build-up</t>
        </is>
      </c>
      <c r="C28" s="13" t="n">
        <v>1952</v>
      </c>
      <c r="D28" s="13" t="n">
        <v>2068</v>
      </c>
      <c r="E28" s="13" t="n">
        <v>2147</v>
      </c>
      <c r="F28" s="13" t="n">
        <v>2225</v>
      </c>
      <c r="G28" s="6" t="n">
        <v>2137.66</v>
      </c>
    </row>
    <row r="29" ht="20" customHeight="1">
      <c r="A29" s="33" t="inlineStr">
        <is>
          <t>Internal Coating Price / Metre</t>
        </is>
      </c>
      <c r="B29" s="12" t="inlineStr">
        <is>
          <t>Defective Area (OD)</t>
        </is>
      </c>
      <c r="C29" s="13" t="n">
        <v>1074</v>
      </c>
      <c r="D29" s="13" t="n">
        <v>1138</v>
      </c>
      <c r="E29" s="13" t="n">
        <v>1181</v>
      </c>
      <c r="F29" s="13" t="n">
        <v>1224</v>
      </c>
      <c r="G29" s="6" t="n">
        <v>1176.24</v>
      </c>
    </row>
    <row r="30" ht="20" customHeight="1">
      <c r="A30" s="33" t="inlineStr">
        <is>
          <t>Freight Price / Metre</t>
        </is>
      </c>
      <c r="B30" s="12" t="inlineStr">
        <is>
          <t>Fractional Allocation</t>
        </is>
      </c>
      <c r="C30" s="13" t="n">
        <v>2068</v>
      </c>
      <c r="D30" s="13" t="n">
        <v>2069</v>
      </c>
      <c r="E30" s="13" t="n">
        <v>2071</v>
      </c>
      <c r="F30" s="13" t="n">
        <v>2071</v>
      </c>
      <c r="G30" s="6" t="n">
        <v>2070.43</v>
      </c>
    </row>
    <row r="31" ht="20" customHeight="1">
      <c r="A31" s="20" t="inlineStr">
        <is>
          <t>Delivered Unit Price / Metre (Excl GST)</t>
        </is>
      </c>
      <c r="B31" s="20" t="inlineStr">
        <is>
          <t>Total / Metre</t>
        </is>
      </c>
      <c r="C31" s="21" t="n">
        <v>22681</v>
      </c>
      <c r="D31" s="21" t="n">
        <v>23914</v>
      </c>
      <c r="E31" s="21" t="n">
        <v>24748</v>
      </c>
      <c r="F31" s="21" t="n">
        <v>25580</v>
      </c>
      <c r="G31" s="21" t="n">
        <v>24642.47</v>
      </c>
    </row>
    <row r="32" ht="20" customHeight="1">
      <c r="A32" s="37" t="inlineStr">
        <is>
          <t>SECTION 5: LINE VALUATION &amp; TAX SUMMARY</t>
        </is>
      </c>
      <c r="B32" s="37" t="inlineStr"/>
      <c r="C32" s="37" t="inlineStr"/>
      <c r="D32" s="37" t="inlineStr"/>
      <c r="E32" s="37" t="inlineStr"/>
      <c r="F32" s="37" t="inlineStr"/>
      <c r="G32" s="37" t="inlineStr"/>
    </row>
    <row r="33" ht="20" customHeight="1">
      <c r="A33" s="15" t="inlineStr">
        <is>
          <t>Line Total Value Excl. GST (INR)</t>
        </is>
      </c>
      <c r="B33" s="15" t="inlineStr">
        <is>
          <t>Delivered Rate * Metres</t>
        </is>
      </c>
      <c r="C33" s="19" t="n">
        <v>45362000</v>
      </c>
      <c r="D33" s="19" t="n">
        <v>8369900</v>
      </c>
      <c r="E33" s="19" t="n">
        <v>12374000</v>
      </c>
      <c r="F33" s="19" t="n">
        <v>112552000</v>
      </c>
      <c r="G33" s="19" t="n">
        <v>178657900</v>
      </c>
    </row>
    <row r="34" ht="20" customHeight="1">
      <c r="A34" s="33" t="inlineStr">
        <is>
          <t>Statutory GST @ 18% (INR)</t>
        </is>
      </c>
      <c r="B34" s="12" t="inlineStr">
        <is>
          <t>18% on Line Value</t>
        </is>
      </c>
      <c r="C34" s="9" t="n">
        <v>8165160</v>
      </c>
      <c r="D34" s="9" t="n">
        <v>1506582</v>
      </c>
      <c r="E34" s="9" t="n">
        <v>2227320</v>
      </c>
      <c r="F34" s="9" t="n">
        <v>20259360</v>
      </c>
      <c r="G34" s="9" t="n">
        <v>32158422</v>
      </c>
    </row>
    <row r="35" ht="20" customHeight="1">
      <c r="A35" s="15" t="inlineStr">
        <is>
          <t>Line Total Incl. GST (INR)</t>
        </is>
      </c>
      <c r="B35" s="15" t="inlineStr">
        <is>
          <t>Line Value + GST</t>
        </is>
      </c>
      <c r="C35" s="19" t="n">
        <v>53527160</v>
      </c>
      <c r="D35" s="19" t="n">
        <v>9876482</v>
      </c>
      <c r="E35" s="19" t="n">
        <v>14601320</v>
      </c>
      <c r="F35" s="19" t="n">
        <v>132811360</v>
      </c>
      <c r="G35" s="19" t="n">
        <v>210816322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1" workbookViewId="0">
      <selection activeCell="A1" sqref="A1"/>
    </sheetView>
  </sheetViews>
  <sheetFormatPr baseColWidth="8" defaultRowHeight="15" outlineLevelCol="0"/>
  <cols>
    <col width="45" customWidth="1" min="1" max="1"/>
    <col width="15" customWidth="1" min="2" max="2"/>
    <col width="37" customWidth="1" min="3" max="3"/>
    <col width="28" customWidth="1" min="4" max="4"/>
    <col width="32" customWidth="1" min="5" max="5"/>
    <col width="20" customWidth="1" min="6" max="6"/>
    <col width="24" customWidth="1" min="7" max="7"/>
    <col width="45" customWidth="1" min="8" max="8"/>
  </cols>
  <sheetData>
    <row r="1" ht="35" customHeight="1">
      <c r="A1" s="1" t="inlineStr">
        <is>
          <t>FORENSIC VARIANCE RECONCILIATION BRIDGE (NORMAL vs LEGACY MODE)</t>
        </is>
      </c>
    </row>
    <row r="2" ht="20" customHeight="1">
      <c r="A2" s="2" t="inlineStr">
        <is>
          <t>Net Variance: +₹143,150 (+0.08%) | Exact Rupee-for-Rupee Mathematical Reconciliation Across All Components</t>
        </is>
      </c>
    </row>
    <row r="3"/>
    <row r="4" ht="28" customHeight="1">
      <c r="A4" s="3" t="inlineStr">
        <is>
          <t>Pipe Size / Line</t>
        </is>
      </c>
      <c r="B4" s="3" t="inlineStr">
        <is>
          <t>Quantity (m)</t>
        </is>
      </c>
      <c r="C4" s="3" t="inlineStr">
        <is>
          <t>Cost Driver Component</t>
        </is>
      </c>
      <c r="D4" s="3" t="inlineStr">
        <is>
          <t>Legacy Mode Input/Val</t>
        </is>
      </c>
      <c r="E4" s="3" t="inlineStr">
        <is>
          <t>Normal Mode Input/Val</t>
        </is>
      </c>
      <c r="F4" s="3" t="inlineStr">
        <is>
          <t>Unit Diff (₹/m)</t>
        </is>
      </c>
      <c r="G4" s="3" t="inlineStr">
        <is>
          <t>Total Line Impact (₹)</t>
        </is>
      </c>
      <c r="H4" s="3" t="inlineStr">
        <is>
          <t>Commercial Root-Cause Rationale</t>
        </is>
      </c>
    </row>
    <row r="5" ht="21" customHeight="1">
      <c r="A5" s="33" t="inlineStr">
        <is>
          <t>Line 1: 1226mm ID (OD 1243mm)</t>
        </is>
      </c>
      <c r="B5" s="12" t="n">
        <v>2000</v>
      </c>
      <c r="C5" s="33" t="inlineStr">
        <is>
          <t>Bare Price / Financing (FC)</t>
        </is>
      </c>
      <c r="D5" s="12" t="inlineStr">
        <is>
          <t>₹17,587/m (FC=₹1,542)</t>
        </is>
      </c>
      <c r="E5" s="12" t="inlineStr">
        <is>
          <t>₹17,594/m (FC=₹1,570.11)</t>
        </is>
      </c>
      <c r="F5" s="12" t="inlineStr">
        <is>
          <t>+₹7 / m</t>
        </is>
      </c>
      <c r="G5" s="38" t="n">
        <v>14000</v>
      </c>
      <c r="H5" s="33" t="inlineStr">
        <is>
          <t>Dynamic k/(1-k) working capital financing on delivered base</t>
        </is>
      </c>
    </row>
    <row r="6" ht="21" customHeight="1">
      <c r="A6" s="33" t="inlineStr"/>
      <c r="B6" s="12" t="inlineStr"/>
      <c r="C6" s="33" t="inlineStr">
        <is>
          <t>External PU Coating</t>
        </is>
      </c>
      <c r="D6" s="12" t="inlineStr">
        <is>
          <t>₹1,952 / m</t>
        </is>
      </c>
      <c r="E6" s="12" t="inlineStr">
        <is>
          <t>₹1,952 / m</t>
        </is>
      </c>
      <c r="F6" s="12" t="inlineStr">
        <is>
          <t>₹0 / m</t>
        </is>
      </c>
      <c r="G6" s="38" t="n">
        <v>0</v>
      </c>
      <c r="H6" s="33" t="inlineStr">
        <is>
          <t>Identical OD coating area formula (Parity)</t>
        </is>
      </c>
    </row>
    <row r="7" ht="21" customHeight="1">
      <c r="A7" s="33" t="inlineStr"/>
      <c r="B7" s="12" t="inlineStr"/>
      <c r="C7" s="33" t="inlineStr">
        <is>
          <t>Internal FGE Coating</t>
        </is>
      </c>
      <c r="D7" s="12" t="inlineStr">
        <is>
          <t>₹1,074/m (D=OD=1243mm)</t>
        </is>
      </c>
      <c r="E7" s="12" t="inlineStr">
        <is>
          <t>₹1,059/m (D=ID=1226mm)</t>
        </is>
      </c>
      <c r="F7" s="12" t="inlineStr">
        <is>
          <t>-₹15 / m</t>
        </is>
      </c>
      <c r="G7" s="38" t="n">
        <v>-30000</v>
      </c>
      <c r="H7" s="33" t="inlineStr">
        <is>
          <t>Physical inside bore diameter (ID) used, eliminating phantom area</t>
        </is>
      </c>
    </row>
    <row r="8" ht="21" customHeight="1">
      <c r="A8" s="33" t="inlineStr"/>
      <c r="B8" s="12" t="inlineStr"/>
      <c r="C8" s="33" t="inlineStr">
        <is>
          <t>Freight Logistics</t>
        </is>
      </c>
      <c r="D8" s="12" t="inlineStr">
        <is>
          <t>₹2,068/m (41.67 trailers)</t>
        </is>
      </c>
      <c r="E8" s="12" t="inlineStr">
        <is>
          <t>₹2,084/m (42 trailers)</t>
        </is>
      </c>
      <c r="F8" s="12" t="inlineStr">
        <is>
          <t>+₹16 / m</t>
        </is>
      </c>
      <c r="G8" s="38" t="n">
        <v>32000</v>
      </c>
      <c r="H8" s="33" t="inlineStr">
        <is>
          <t>Whole-trailer ceiling booking (42 full trailers required)</t>
        </is>
      </c>
    </row>
    <row r="9" ht="21" customHeight="1">
      <c r="A9" s="39" t="inlineStr">
        <is>
          <t>Line 1 Subtotal</t>
        </is>
      </c>
      <c r="B9" s="40" t="n">
        <v>2000</v>
      </c>
      <c r="C9" s="39" t="inlineStr">
        <is>
          <t>Delivered Price Net</t>
        </is>
      </c>
      <c r="D9" s="40" t="inlineStr">
        <is>
          <t>₹22,681 / m</t>
        </is>
      </c>
      <c r="E9" s="40" t="inlineStr">
        <is>
          <t>₹22,689 / m</t>
        </is>
      </c>
      <c r="F9" s="40" t="inlineStr">
        <is>
          <t>+₹8 / m</t>
        </is>
      </c>
      <c r="G9" s="41" t="n">
        <v>16000</v>
      </c>
      <c r="H9" s="39" t="inlineStr">
        <is>
          <t>Approved Normal Contract</t>
        </is>
      </c>
    </row>
    <row r="10" ht="21" customHeight="1">
      <c r="A10" s="33" t="inlineStr">
        <is>
          <t>Line 2: 1300mm ID (OD 1317mm)</t>
        </is>
      </c>
      <c r="B10" s="12" t="n">
        <v>350</v>
      </c>
      <c r="C10" s="33" t="inlineStr">
        <is>
          <t>Bare Price / Financing (FC)</t>
        </is>
      </c>
      <c r="D10" s="12" t="inlineStr">
        <is>
          <t>₹18,639/m (FC=₹1,534)</t>
        </is>
      </c>
      <c r="E10" s="12" t="inlineStr">
        <is>
          <t>₹18,650/m (FC=₹1,574.00)</t>
        </is>
      </c>
      <c r="F10" s="12" t="inlineStr">
        <is>
          <t>+₹11 / m</t>
        </is>
      </c>
      <c r="G10" s="38" t="n">
        <v>3850</v>
      </c>
      <c r="H10" s="33" t="inlineStr">
        <is>
          <t>Dynamic k/(1-k) working capital financing on delivered base</t>
        </is>
      </c>
    </row>
    <row r="11" ht="21" customHeight="1">
      <c r="A11" s="33" t="inlineStr"/>
      <c r="B11" s="12" t="inlineStr"/>
      <c r="C11" s="33" t="inlineStr">
        <is>
          <t>External PU Coating</t>
        </is>
      </c>
      <c r="D11" s="12" t="inlineStr">
        <is>
          <t>₹2,068 / m</t>
        </is>
      </c>
      <c r="E11" s="12" t="inlineStr">
        <is>
          <t>₹2,068 / m</t>
        </is>
      </c>
      <c r="F11" s="12" t="inlineStr">
        <is>
          <t>₹0 / m</t>
        </is>
      </c>
      <c r="G11" s="38" t="n">
        <v>0</v>
      </c>
      <c r="H11" s="33" t="inlineStr">
        <is>
          <t>Identical OD coating area formula (Parity)</t>
        </is>
      </c>
    </row>
    <row r="12" ht="21" customHeight="1">
      <c r="A12" s="33" t="inlineStr"/>
      <c r="B12" s="12" t="inlineStr"/>
      <c r="C12" s="33" t="inlineStr">
        <is>
          <t>Internal FGE Coating</t>
        </is>
      </c>
      <c r="D12" s="12" t="inlineStr">
        <is>
          <t>₹1,138/m (D=OD=1317mm)</t>
        </is>
      </c>
      <c r="E12" s="12" t="inlineStr">
        <is>
          <t>₹1,123/m (D=ID=1300mm)</t>
        </is>
      </c>
      <c r="F12" s="12" t="inlineStr">
        <is>
          <t>-₹15 / m</t>
        </is>
      </c>
      <c r="G12" s="38" t="n">
        <v>-5250</v>
      </c>
      <c r="H12" s="33" t="inlineStr">
        <is>
          <t>Physical inside bore diameter (ID) used, eliminating phantom area</t>
        </is>
      </c>
    </row>
    <row r="13" ht="21" customHeight="1">
      <c r="A13" s="33" t="inlineStr"/>
      <c r="B13" s="12" t="inlineStr"/>
      <c r="C13" s="33" t="inlineStr">
        <is>
          <t>Freight Logistics</t>
        </is>
      </c>
      <c r="D13" s="12" t="inlineStr">
        <is>
          <t>₹2,069/m (7.29 trailers)</t>
        </is>
      </c>
      <c r="E13" s="12" t="inlineStr">
        <is>
          <t>₹2,268/m (8 trailers)</t>
        </is>
      </c>
      <c r="F13" s="12" t="inlineStr">
        <is>
          <t>+₹199 / m</t>
        </is>
      </c>
      <c r="G13" s="38" t="n">
        <v>69650</v>
      </c>
      <c r="H13" s="33" t="inlineStr">
        <is>
          <t>Whole-trailer ceiling booking (8 trailers for 30 pipes @ 4/tr)</t>
        </is>
      </c>
    </row>
    <row r="14" ht="21" customHeight="1">
      <c r="A14" s="39" t="inlineStr">
        <is>
          <t>Line 2 Subtotal</t>
        </is>
      </c>
      <c r="B14" s="40" t="n">
        <v>350</v>
      </c>
      <c r="C14" s="39" t="inlineStr">
        <is>
          <t>Delivered Price Net</t>
        </is>
      </c>
      <c r="D14" s="40" t="inlineStr">
        <is>
          <t>₹23,914 / m</t>
        </is>
      </c>
      <c r="E14" s="40" t="inlineStr">
        <is>
          <t>₹24,109 / m</t>
        </is>
      </c>
      <c r="F14" s="40" t="inlineStr">
        <is>
          <t>+₹195 / m</t>
        </is>
      </c>
      <c r="G14" s="41" t="n">
        <v>68250</v>
      </c>
      <c r="H14" s="39" t="inlineStr">
        <is>
          <t>Approved Normal Contract</t>
        </is>
      </c>
    </row>
    <row r="15" ht="21" customHeight="1">
      <c r="A15" s="33" t="inlineStr">
        <is>
          <t>Line 3: 1350mm ID (OD 1367mm)</t>
        </is>
      </c>
      <c r="B15" s="12" t="n">
        <v>500</v>
      </c>
      <c r="C15" s="33" t="inlineStr">
        <is>
          <t>Bare Price / Financing (FC)</t>
        </is>
      </c>
      <c r="D15" s="12" t="inlineStr">
        <is>
          <t>₹19,349/m (FC=₹1,529)</t>
        </is>
      </c>
      <c r="E15" s="12" t="inlineStr">
        <is>
          <t>₹19,359/m (FC=₹1,563.12)</t>
        </is>
      </c>
      <c r="F15" s="12" t="inlineStr">
        <is>
          <t>+₹10 / m</t>
        </is>
      </c>
      <c r="G15" s="38" t="n">
        <v>5000</v>
      </c>
      <c r="H15" s="33" t="inlineStr">
        <is>
          <t>Dynamic k/(1-k) working capital financing on delivered base</t>
        </is>
      </c>
    </row>
    <row r="16" ht="21" customHeight="1">
      <c r="A16" s="33" t="inlineStr"/>
      <c r="B16" s="12" t="inlineStr"/>
      <c r="C16" s="33" t="inlineStr">
        <is>
          <t>External PU Coating</t>
        </is>
      </c>
      <c r="D16" s="12" t="inlineStr">
        <is>
          <t>₹2,147 / m</t>
        </is>
      </c>
      <c r="E16" s="12" t="inlineStr">
        <is>
          <t>₹2,147 / m</t>
        </is>
      </c>
      <c r="F16" s="12" t="inlineStr">
        <is>
          <t>₹0 / m</t>
        </is>
      </c>
      <c r="G16" s="38" t="n">
        <v>0</v>
      </c>
      <c r="H16" s="33" t="inlineStr">
        <is>
          <t>Identical OD coating area formula (Parity)</t>
        </is>
      </c>
    </row>
    <row r="17" ht="21" customHeight="1">
      <c r="A17" s="33" t="inlineStr"/>
      <c r="B17" s="12" t="inlineStr"/>
      <c r="C17" s="33" t="inlineStr">
        <is>
          <t>Internal FGE Coating</t>
        </is>
      </c>
      <c r="D17" s="12" t="inlineStr">
        <is>
          <t>₹1,181/m (D=OD=1367mm)</t>
        </is>
      </c>
      <c r="E17" s="12" t="inlineStr">
        <is>
          <t>₹1,166/m (D=ID=1350mm)</t>
        </is>
      </c>
      <c r="F17" s="12" t="inlineStr">
        <is>
          <t>-₹15 / m</t>
        </is>
      </c>
      <c r="G17" s="38" t="n">
        <v>-7500</v>
      </c>
      <c r="H17" s="33" t="inlineStr">
        <is>
          <t>Physical inside bore diameter (ID) used, eliminating phantom area</t>
        </is>
      </c>
    </row>
    <row r="18" ht="21" customHeight="1">
      <c r="A18" s="33" t="inlineStr"/>
      <c r="B18" s="12" t="inlineStr"/>
      <c r="C18" s="33" t="inlineStr">
        <is>
          <t>Freight Logistics</t>
        </is>
      </c>
      <c r="D18" s="12" t="inlineStr">
        <is>
          <t>₹2,071/m (10.42 trailers)</t>
        </is>
      </c>
      <c r="E18" s="12" t="inlineStr">
        <is>
          <t>₹2,185/m (11 trailers)</t>
        </is>
      </c>
      <c r="F18" s="12" t="inlineStr">
        <is>
          <t>+₹114 / m</t>
        </is>
      </c>
      <c r="G18" s="38" t="n">
        <v>57000</v>
      </c>
      <c r="H18" s="33" t="inlineStr">
        <is>
          <t>Whole-trailer ceiling booking (11 trailers for 42 pipes @ 4/tr)</t>
        </is>
      </c>
    </row>
    <row r="19" ht="21" customHeight="1">
      <c r="A19" s="39" t="inlineStr">
        <is>
          <t>Line 3 Subtotal</t>
        </is>
      </c>
      <c r="B19" s="40" t="n">
        <v>500</v>
      </c>
      <c r="C19" s="39" t="inlineStr">
        <is>
          <t>Delivered Price Net</t>
        </is>
      </c>
      <c r="D19" s="40" t="inlineStr">
        <is>
          <t>₹24,748 / m</t>
        </is>
      </c>
      <c r="E19" s="40" t="inlineStr">
        <is>
          <t>₹24,857 / m</t>
        </is>
      </c>
      <c r="F19" s="40" t="inlineStr">
        <is>
          <t>+₹109 / m</t>
        </is>
      </c>
      <c r="G19" s="41" t="n">
        <v>54500</v>
      </c>
      <c r="H19" s="39" t="inlineStr">
        <is>
          <t>Approved Normal Contract</t>
        </is>
      </c>
    </row>
    <row r="20" ht="21" customHeight="1">
      <c r="A20" s="33" t="inlineStr">
        <is>
          <t>Line 4: 1400mm ID (OD 1417mm)</t>
        </is>
      </c>
      <c r="B20" s="12" t="n">
        <v>4400</v>
      </c>
      <c r="C20" s="33" t="inlineStr">
        <is>
          <t>Bare Price / Financing (FC)</t>
        </is>
      </c>
      <c r="D20" s="12" t="inlineStr">
        <is>
          <t>₹20,060/m (FC=₹1,525)</t>
        </is>
      </c>
      <c r="E20" s="12" t="inlineStr">
        <is>
          <t>₹20,068/m (FC=₹1,551.61)</t>
        </is>
      </c>
      <c r="F20" s="12" t="inlineStr">
        <is>
          <t>+₹8 / m</t>
        </is>
      </c>
      <c r="G20" s="38" t="n">
        <v>35200</v>
      </c>
      <c r="H20" s="33" t="inlineStr">
        <is>
          <t>Dynamic k/(1-k) working capital financing on delivered base</t>
        </is>
      </c>
    </row>
    <row r="21" ht="21" customHeight="1">
      <c r="A21" s="33" t="inlineStr"/>
      <c r="B21" s="12" t="inlineStr"/>
      <c r="C21" s="33" t="inlineStr">
        <is>
          <t>External PU Coating</t>
        </is>
      </c>
      <c r="D21" s="12" t="inlineStr">
        <is>
          <t>₹2,225 / m</t>
        </is>
      </c>
      <c r="E21" s="12" t="inlineStr">
        <is>
          <t>₹2,225 / m</t>
        </is>
      </c>
      <c r="F21" s="12" t="inlineStr">
        <is>
          <t>₹0 / m</t>
        </is>
      </c>
      <c r="G21" s="38" t="n">
        <v>0</v>
      </c>
      <c r="H21" s="33" t="inlineStr">
        <is>
          <t>Identical OD coating area formula (Parity)</t>
        </is>
      </c>
    </row>
    <row r="22" ht="21" customHeight="1">
      <c r="A22" s="33" t="inlineStr"/>
      <c r="B22" s="12" t="inlineStr"/>
      <c r="C22" s="33" t="inlineStr">
        <is>
          <t>Internal FGE Coating</t>
        </is>
      </c>
      <c r="D22" s="12" t="inlineStr">
        <is>
          <t>₹1,224/m (D=OD=1417mm)</t>
        </is>
      </c>
      <c r="E22" s="12" t="inlineStr">
        <is>
          <t>₹1,209/m (D=ID=1400mm)</t>
        </is>
      </c>
      <c r="F22" s="12" t="inlineStr">
        <is>
          <t>-₹15 / m</t>
        </is>
      </c>
      <c r="G22" s="38" t="n">
        <v>-66000</v>
      </c>
      <c r="H22" s="33" t="inlineStr">
        <is>
          <t>Physical inside bore diameter (ID) used, eliminating phantom area</t>
        </is>
      </c>
    </row>
    <row r="23" ht="21" customHeight="1">
      <c r="A23" s="33" t="inlineStr"/>
      <c r="B23" s="12" t="inlineStr"/>
      <c r="C23" s="33" t="inlineStr">
        <is>
          <t>Freight Logistics</t>
        </is>
      </c>
      <c r="D23" s="12" t="inlineStr">
        <is>
          <t>₹2,071/m (91.67 trailers)</t>
        </is>
      </c>
      <c r="E23" s="12" t="inlineStr">
        <is>
          <t>₹2,079/m (92 trailers)</t>
        </is>
      </c>
      <c r="F23" s="12" t="inlineStr">
        <is>
          <t>+₹8 / m</t>
        </is>
      </c>
      <c r="G23" s="38" t="n">
        <v>35200</v>
      </c>
      <c r="H23" s="33" t="inlineStr">
        <is>
          <t>Whole-trailer ceiling booking (92 trailers for 367 pipes @ 4/tr)</t>
        </is>
      </c>
    </row>
    <row r="24" ht="21" customHeight="1">
      <c r="A24" s="39" t="inlineStr">
        <is>
          <t>Line 4 Subtotal</t>
        </is>
      </c>
      <c r="B24" s="40" t="n">
        <v>4400</v>
      </c>
      <c r="C24" s="39" t="inlineStr">
        <is>
          <t>Delivered Price Net</t>
        </is>
      </c>
      <c r="D24" s="40" t="inlineStr">
        <is>
          <t>₹25,580 / m</t>
        </is>
      </c>
      <c r="E24" s="40" t="inlineStr">
        <is>
          <t>₹25,581 / m</t>
        </is>
      </c>
      <c r="F24" s="40" t="inlineStr">
        <is>
          <t>+₹1 / m</t>
        </is>
      </c>
      <c r="G24" s="41" t="n">
        <v>4400</v>
      </c>
      <c r="H24" s="39" t="inlineStr">
        <is>
          <t>Approved Normal Contract</t>
        </is>
      </c>
    </row>
    <row r="25" ht="21" customHeight="1">
      <c r="A25" s="39" t="inlineStr">
        <is>
          <t>CUMULATIVE VARIANCE BRIDGE</t>
        </is>
      </c>
      <c r="B25" s="40" t="n">
        <v>7250</v>
      </c>
      <c r="C25" s="39" t="inlineStr">
        <is>
          <t>1. Logistics Whole-Trailer Ceiling</t>
        </is>
      </c>
      <c r="D25" s="40" t="inlineStr">
        <is>
          <t>151.04 Trailers</t>
        </is>
      </c>
      <c r="E25" s="40" t="inlineStr">
        <is>
          <t>153 Full Trailers</t>
        </is>
      </c>
      <c r="F25" s="40" t="inlineStr">
        <is>
          <t>+1.96 Trailers</t>
        </is>
      </c>
      <c r="G25" s="41" t="n">
        <v>193850</v>
      </c>
      <c r="H25" s="39" t="inlineStr">
        <is>
          <t>Carriers bill whole flatbed trailers; partial-trailer absorption avoided</t>
        </is>
      </c>
    </row>
    <row r="26" ht="21" customHeight="1">
      <c r="A26" s="33" t="inlineStr"/>
      <c r="B26" s="12" t="inlineStr"/>
      <c r="C26" s="33" t="inlineStr">
        <is>
          <t>2. Internal Lining Diameter Fix</t>
        </is>
      </c>
      <c r="D26" s="12" t="inlineStr">
        <is>
          <t>OD used (phantom area)</t>
        </is>
      </c>
      <c r="E26" s="12" t="inlineStr">
        <is>
          <t>Physical ID bore area</t>
        </is>
      </c>
      <c r="F26" s="12" t="inlineStr">
        <is>
          <t>-₹15 / m savings</t>
        </is>
      </c>
      <c r="G26" s="38" t="n">
        <v>-108750</v>
      </c>
      <c r="H26" s="33" t="inlineStr">
        <is>
          <t>Corrected engineering defect: customer charged strictly for actual bore area</t>
        </is>
      </c>
    </row>
    <row r="27" ht="21" customHeight="1">
      <c r="A27" s="33" t="inlineStr"/>
      <c r="B27" s="12" t="inlineStr"/>
      <c r="C27" s="33" t="inlineStr">
        <is>
          <t>3. Dynamic Financing Formula</t>
        </is>
      </c>
      <c r="D27" s="12" t="inlineStr">
        <is>
          <t>Static typed entries</t>
        </is>
      </c>
      <c r="E27" s="12" t="inlineStr">
        <is>
          <t>k*Base/(1-k) @ 1.5% + 18% GST</t>
        </is>
      </c>
      <c r="F27" s="12" t="inlineStr">
        <is>
          <t>Algebraic formula</t>
        </is>
      </c>
      <c r="G27" s="38" t="n">
        <v>58050</v>
      </c>
      <c r="H27" s="33" t="inlineStr">
        <is>
          <t>Working capital finance dynamically tracks actual logistics costs</t>
        </is>
      </c>
    </row>
    <row r="28" ht="21" customHeight="1">
      <c r="A28" s="42" t="inlineStr">
        <is>
          <t>NET COMMERCIAL VARIANCE</t>
        </is>
      </c>
      <c r="B28" s="26" t="n">
        <v>7250</v>
      </c>
      <c r="C28" s="42" t="inlineStr">
        <is>
          <t>Subtotal Excl. GST Variance</t>
        </is>
      </c>
      <c r="D28" s="26" t="inlineStr">
        <is>
          <t>₹178,657,900</t>
        </is>
      </c>
      <c r="E28" s="26" t="inlineStr">
        <is>
          <t>₹178,801,050</t>
        </is>
      </c>
      <c r="F28" s="26" t="inlineStr">
        <is>
          <t>+₹19.74 / m (Wtd)</t>
        </is>
      </c>
      <c r="G28" s="43" t="n">
        <v>143150</v>
      </c>
      <c r="H28" s="42" t="inlineStr">
        <is>
          <t>Exact Algebraic Proof: +193,850 - 108,750 + 58,050 = +₹143,150 (+0.08%)</t>
        </is>
      </c>
    </row>
    <row r="29" ht="21" customHeight="1">
      <c r="A29" s="39" t="inlineStr">
        <is>
          <t>STATUTORY TAX VARIANCE</t>
        </is>
      </c>
      <c r="B29" s="40" t="n">
        <v>7250</v>
      </c>
      <c r="C29" s="39" t="inlineStr">
        <is>
          <t>GST @ 18% Variance</t>
        </is>
      </c>
      <c r="D29" s="40" t="inlineStr">
        <is>
          <t>₹32,158,422</t>
        </is>
      </c>
      <c r="E29" s="40" t="inlineStr">
        <is>
          <t>₹32,184,189</t>
        </is>
      </c>
      <c r="F29" s="40" t="inlineStr">
        <is>
          <t>-</t>
        </is>
      </c>
      <c r="G29" s="41" t="n">
        <v>25767</v>
      </c>
      <c r="H29" s="39" t="inlineStr">
        <is>
          <t>18% GST on Net Variance (₹143,150 * 18% = ₹25,767)</t>
        </is>
      </c>
    </row>
    <row r="30" ht="21" customHeight="1">
      <c r="A30" s="42" t="inlineStr">
        <is>
          <t>GRAND TOTAL VARIANCE</t>
        </is>
      </c>
      <c r="B30" s="26" t="n">
        <v>7250</v>
      </c>
      <c r="C30" s="42" t="inlineStr">
        <is>
          <t>Grand Total Incl. GST Variance</t>
        </is>
      </c>
      <c r="D30" s="26" t="inlineStr">
        <is>
          <t>₹210,816,322</t>
        </is>
      </c>
      <c r="E30" s="26" t="inlineStr">
        <is>
          <t>₹210,985,239</t>
        </is>
      </c>
      <c r="F30" s="26" t="inlineStr">
        <is>
          <t>-</t>
        </is>
      </c>
      <c r="G30" s="43" t="n">
        <v>168917</v>
      </c>
      <c r="H30" s="42" t="inlineStr">
        <is>
          <t>Total Order Value Variance Reconciled to the Exact Rupee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1" workbookViewId="0">
      <selection activeCell="A1" sqref="A1"/>
    </sheetView>
  </sheetViews>
  <sheetFormatPr baseColWidth="8" defaultRowHeight="15" outlineLevelCol="0"/>
  <cols>
    <col width="45" customWidth="1" min="1" max="1"/>
    <col width="45" customWidth="1" min="2" max="2"/>
    <col width="22" customWidth="1" min="3" max="3"/>
    <col width="12" customWidth="1" min="4" max="4"/>
    <col width="12" customWidth="1" min="5" max="5"/>
    <col width="18" customWidth="1" min="6" max="6"/>
    <col width="43" customWidth="1" min="7" max="7"/>
    <col width="28" customWidth="1" min="8" max="8"/>
  </cols>
  <sheetData>
    <row r="1" ht="30" customHeight="1">
      <c r="A1" s="44" t="inlineStr">
        <is>
          <t>MEGA PIPES PRIVATE LIMITED</t>
        </is>
      </c>
    </row>
    <row r="2" ht="18" customHeight="1">
      <c r="A2" s="45" t="inlineStr">
        <is>
          <t>Regd. Office &amp; Works: Plot No. 12-16, Industrial Area, Maneri, Jabalpur (M.P.) - 481880</t>
        </is>
      </c>
    </row>
    <row r="3" ht="24" customHeight="1">
      <c r="A3" s="46" t="inlineStr">
        <is>
          <t>COMMERCIAL QUOTATION OFFER</t>
        </is>
      </c>
    </row>
    <row r="4"/>
    <row r="5" ht="20" customHeight="1">
      <c r="A5" s="24" t="inlineStr">
        <is>
          <t>Offer Number:</t>
        </is>
      </c>
      <c r="B5" s="25" t="inlineStr">
        <is>
          <t>MEGA/OFFER/26-27/594</t>
        </is>
      </c>
      <c r="F5" s="24" t="inlineStr">
        <is>
          <t>Offer Date:</t>
        </is>
      </c>
      <c r="G5" s="25" t="inlineStr">
        <is>
          <t>17th September 2026</t>
        </is>
      </c>
    </row>
    <row r="6" ht="20" customHeight="1">
      <c r="A6" s="24" t="inlineStr">
        <is>
          <t>Enquiry Reference:</t>
        </is>
      </c>
      <c r="B6" s="25" t="inlineStr">
        <is>
          <t>MKTG/ENQ/26-27/594</t>
        </is>
      </c>
      <c r="F6" s="24" t="inlineStr">
        <is>
          <t>Due Date:</t>
        </is>
      </c>
      <c r="G6" s="25" t="inlineStr">
        <is>
          <t>31st October 2026</t>
        </is>
      </c>
    </row>
    <row r="7" ht="20" customHeight="1">
      <c r="A7" s="24" t="inlineStr">
        <is>
          <t>Purchaser:</t>
        </is>
      </c>
      <c r="B7" s="25" t="inlineStr">
        <is>
          <t>Unipro Techno Infrastructure Pvt. Ltd</t>
        </is>
      </c>
      <c r="F7" s="24" t="inlineStr">
        <is>
          <t>Contact Person:</t>
        </is>
      </c>
      <c r="G7" s="25" t="inlineStr">
        <is>
          <t>Rakesh Gupta</t>
        </is>
      </c>
    </row>
    <row r="8" ht="20" customHeight="1">
      <c r="A8" s="24" t="inlineStr">
        <is>
          <t>Project Name:</t>
        </is>
      </c>
      <c r="B8" s="25" t="inlineStr">
        <is>
          <t>Konar, Jharkhand Project</t>
        </is>
      </c>
      <c r="F8" s="24" t="inlineStr">
        <is>
          <t>Supplying Mill:</t>
        </is>
      </c>
      <c r="G8" s="25" t="inlineStr">
        <is>
          <t>Mega Pipes Pvt. Limited (Jabalpur Plant)</t>
        </is>
      </c>
    </row>
    <row r="9" ht="20" customHeight="1">
      <c r="A9" s="24" t="inlineStr">
        <is>
          <t>Place of Delivery:</t>
        </is>
      </c>
      <c r="B9" s="25" t="inlineStr">
        <is>
          <t>Krishna Nagar, Bagodar, Jharkhand - 825322</t>
        </is>
      </c>
      <c r="F9" s="24" t="inlineStr">
        <is>
          <t>Price Basis:</t>
        </is>
      </c>
      <c r="G9" s="25" t="inlineStr">
        <is>
          <t>CIF Delivered Bagodar (Metre Basis)</t>
        </is>
      </c>
    </row>
    <row r="10"/>
    <row r="11" ht="26" customHeight="1">
      <c r="A11" s="11" t="inlineStr">
        <is>
          <t>Sr No</t>
        </is>
      </c>
      <c r="B11" s="11" t="inlineStr">
        <is>
          <t>Pipe Type</t>
        </is>
      </c>
      <c r="C11" s="11" t="inlineStr">
        <is>
          <t>Specification</t>
        </is>
      </c>
      <c r="D11" s="11" t="inlineStr">
        <is>
          <t>OD (mm)</t>
        </is>
      </c>
      <c r="E11" s="11" t="inlineStr">
        <is>
          <t>WT (mm)</t>
        </is>
      </c>
      <c r="F11" s="11" t="inlineStr">
        <is>
          <t>Quantity (m)</t>
        </is>
      </c>
      <c r="G11" s="11" t="inlineStr">
        <is>
          <t>Delivered Rate (₹/m)</t>
        </is>
      </c>
      <c r="H11" s="11" t="inlineStr">
        <is>
          <t>Total Value Excl. GST (₹)</t>
        </is>
      </c>
    </row>
    <row r="12" ht="22" customHeight="1">
      <c r="A12" s="12" t="n">
        <v>1</v>
      </c>
      <c r="B12" s="5" t="inlineStr">
        <is>
          <t>HSAW Coated Pipe</t>
        </is>
      </c>
      <c r="C12" s="5" t="inlineStr">
        <is>
          <t>IS-3589-2001 Fe 410</t>
        </is>
      </c>
      <c r="D12" s="12" t="n">
        <v>1243</v>
      </c>
      <c r="E12" s="12" t="n">
        <v>8.4</v>
      </c>
      <c r="F12" s="13" t="n">
        <v>2000</v>
      </c>
      <c r="G12" s="9" t="n">
        <v>22689</v>
      </c>
      <c r="H12" s="9" t="n">
        <v>45378000</v>
      </c>
    </row>
    <row r="13" ht="22" customHeight="1">
      <c r="A13" s="12" t="n">
        <v>2</v>
      </c>
      <c r="B13" s="5" t="inlineStr">
        <is>
          <t>HSAW Coated Pipe</t>
        </is>
      </c>
      <c r="C13" s="5" t="inlineStr">
        <is>
          <t>IS-3589-2001 Fe 410</t>
        </is>
      </c>
      <c r="D13" s="12" t="n">
        <v>1317</v>
      </c>
      <c r="E13" s="12" t="n">
        <v>8.4</v>
      </c>
      <c r="F13" s="13" t="n">
        <v>350</v>
      </c>
      <c r="G13" s="9" t="n">
        <v>24109</v>
      </c>
      <c r="H13" s="9" t="n">
        <v>8438150</v>
      </c>
    </row>
    <row r="14" ht="22" customHeight="1">
      <c r="A14" s="12" t="n">
        <v>3</v>
      </c>
      <c r="B14" s="5" t="inlineStr">
        <is>
          <t>HSAW Coated Pipe</t>
        </is>
      </c>
      <c r="C14" s="5" t="inlineStr">
        <is>
          <t>IS-3589-2001 Fe 410</t>
        </is>
      </c>
      <c r="D14" s="12" t="n">
        <v>1367</v>
      </c>
      <c r="E14" s="12" t="n">
        <v>8.4</v>
      </c>
      <c r="F14" s="13" t="n">
        <v>500</v>
      </c>
      <c r="G14" s="9" t="n">
        <v>24857</v>
      </c>
      <c r="H14" s="9" t="n">
        <v>12428500</v>
      </c>
    </row>
    <row r="15" ht="22" customHeight="1">
      <c r="A15" s="12" t="n">
        <v>4</v>
      </c>
      <c r="B15" s="5" t="inlineStr">
        <is>
          <t>HSAW Coated Pipe</t>
        </is>
      </c>
      <c r="C15" s="5" t="inlineStr">
        <is>
          <t>IS-3589-2001 Fe 410</t>
        </is>
      </c>
      <c r="D15" s="12" t="n">
        <v>1417</v>
      </c>
      <c r="E15" s="12" t="n">
        <v>8.4</v>
      </c>
      <c r="F15" s="13" t="n">
        <v>4400</v>
      </c>
      <c r="G15" s="9" t="n">
        <v>25581</v>
      </c>
      <c r="H15" s="9" t="n">
        <v>112556400</v>
      </c>
    </row>
    <row r="16" ht="24" customHeight="1">
      <c r="A16" s="15" t="inlineStr">
        <is>
          <t>TOTAL</t>
        </is>
      </c>
      <c r="B16" s="15" t="inlineStr">
        <is>
          <t>HSAW Coated</t>
        </is>
      </c>
      <c r="C16" s="15" t="inlineStr">
        <is>
          <t>IS-3589-2001 Fe 410</t>
        </is>
      </c>
      <c r="D16" s="15" t="inlineStr">
        <is>
          <t>-</t>
        </is>
      </c>
      <c r="E16" s="15" t="inlineStr">
        <is>
          <t>-</t>
        </is>
      </c>
      <c r="F16" s="16" t="n">
        <v>7250</v>
      </c>
      <c r="G16" s="19" t="inlineStr">
        <is>
          <t>₹24,662.21 (Wtd Avg)</t>
        </is>
      </c>
      <c r="H16" s="19" t="n">
        <v>178801050</v>
      </c>
    </row>
    <row r="17" ht="22" customHeight="1">
      <c r="A17" t="inlineStr"/>
      <c r="B17" t="inlineStr"/>
      <c r="C17" t="inlineStr"/>
      <c r="D17" t="inlineStr"/>
      <c r="E17" t="inlineStr"/>
      <c r="F17" t="inlineStr"/>
      <c r="G17" s="20" t="inlineStr">
        <is>
          <t>GST @ 18%:</t>
        </is>
      </c>
      <c r="H17" s="21" t="n">
        <v>32184189</v>
      </c>
    </row>
    <row r="18" ht="25" customHeight="1">
      <c r="A18" t="inlineStr"/>
      <c r="B18" t="inlineStr"/>
      <c r="C18" t="inlineStr"/>
      <c r="D18" t="inlineStr"/>
      <c r="E18" t="inlineStr"/>
      <c r="F18" t="inlineStr"/>
      <c r="G18" s="22" t="inlineStr">
        <is>
          <t>GRAND TOTAL (INCL. GST):</t>
        </is>
      </c>
      <c r="H18" s="23" t="n">
        <v>210985239</v>
      </c>
    </row>
    <row r="19" ht="22" customHeight="1">
      <c r="A19" s="24" t="inlineStr">
        <is>
          <t>Amount in Words: Rupees Twenty One Crore Nine Lakh Eighty Five Thousand Two Hundred Thirty Nine Only (Incl. 18% GST)</t>
        </is>
      </c>
    </row>
    <row r="20" ht="22" customHeight="1">
      <c r="A20" s="47" t="inlineStr">
        <is>
          <t>STANDARD COMMERCIAL TERMS &amp; CONDITIONS:</t>
        </is>
      </c>
    </row>
    <row r="21" ht="22" customHeight="1">
      <c r="A21" s="24" t="inlineStr">
        <is>
          <t>1. Price Basis</t>
        </is>
      </c>
      <c r="B21" s="48" t="inlineStr">
        <is>
          <t>Prices quoted are CIF delivered by road to Krishna Nagar, Bagodar, Jharkhand - 825322 on a per metre basis.</t>
        </is>
      </c>
    </row>
    <row r="22" ht="22" customHeight="1">
      <c r="A22" s="24" t="inlineStr">
        <is>
          <t>2. Taxes &amp; Duties</t>
        </is>
      </c>
      <c r="B22" s="48" t="inlineStr">
        <is>
          <t>Statutory GST is charged extra at actuals (currently 18%). Any change in statutory levies at time of dispatch shall be to buyer's account.</t>
        </is>
      </c>
    </row>
    <row r="23" ht="22" customHeight="1">
      <c r="A23" s="24" t="inlineStr">
        <is>
          <t>3. Scope of Supply</t>
        </is>
      </c>
      <c r="B23" s="48" t="inlineStr">
        <is>
          <t>Manufacture and supply of HSAW Coated Steel Pipes conforming to IS-3589-2001 Fe 410, standard 12-metre lengths. External Coating: PU 1000 Micron as per IS 16719 / 10221. Internal Lining: Food Grade Epoxy 406 Micron.</t>
        </is>
      </c>
    </row>
    <row r="24" ht="22" customHeight="1">
      <c r="A24" s="24" t="inlineStr">
        <is>
          <t>4. Logistics &amp; Stacking</t>
        </is>
      </c>
      <c r="B24" s="48" t="inlineStr">
        <is>
          <t>Dispatch will be from our Jabalpur (Maneri) Plant by dedicated flatbed trailers on stacking basis (4 pipes/trailer for 49" to 56" OD). Nesting has not been considered.</t>
        </is>
      </c>
    </row>
    <row r="25" ht="22" customHeight="1">
      <c r="A25" s="24" t="inlineStr">
        <is>
          <t>5. Validity of Offer</t>
        </is>
      </c>
      <c r="B25" s="48" t="inlineStr">
        <is>
          <t>This commercial offer is valid for placement of order for 5 days (until 22nd September 2026), thereafter subject to written reconfirmation.</t>
        </is>
      </c>
    </row>
    <row r="26" ht="22" customHeight="1">
      <c r="A26" s="24" t="inlineStr">
        <is>
          <t>6. Terms of Payment</t>
        </is>
      </c>
      <c r="B26" s="48" t="inlineStr">
        <is>
          <t>25% Advance payment with confirmed Purchase Order; balance 75% against irrevocable, confirmed Letter of Credit (LC) payable at sight against dispatch documents.</t>
        </is>
      </c>
    </row>
    <row r="27" ht="22" customHeight="1">
      <c r="A27" s="24" t="inlineStr">
        <is>
          <t>7. TDS Compliance</t>
        </is>
      </c>
      <c r="B27" s="48" t="inlineStr">
        <is>
          <t>Buyer shall be responsible for compliance with TDS under Section 194Q of Income Tax Act and timely issuance of quarterly TDS certificates.</t>
        </is>
      </c>
    </row>
  </sheetData>
  <mergeCells count="11">
    <mergeCell ref="B22:H22"/>
    <mergeCell ref="A3:H3"/>
    <mergeCell ref="B26:H26"/>
    <mergeCell ref="B27:H27"/>
    <mergeCell ref="B21:H21"/>
    <mergeCell ref="A2:H2"/>
    <mergeCell ref="B24:H24"/>
    <mergeCell ref="A19:H19"/>
    <mergeCell ref="B25:H25"/>
    <mergeCell ref="A1:H1"/>
    <mergeCell ref="B23:H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2026-10-17T04:53:10Z</dcterms:created>
  <dcterms:modified xsi:type="dcterms:W3CDTF">2026-10-17T04:53:10Z</dcterms:modified>
</cp:coreProperties>
</file>